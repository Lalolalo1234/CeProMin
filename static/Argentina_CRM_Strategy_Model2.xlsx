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dmin/Desktop/Inteligencia Minera/"/>
    </mc:Choice>
  </mc:AlternateContent>
  <xr:revisionPtr revIDLastSave="0" documentId="8_{BBF3BDC2-3295-C645-ABBA-B5863D1D4482}" xr6:coauthVersionLast="47" xr6:coauthVersionMax="47" xr10:uidLastSave="{00000000-0000-0000-0000-000000000000}"/>
  <bookViews>
    <workbookView xWindow="0" yWindow="500" windowWidth="25600" windowHeight="14060" xr2:uid="{00000000-000D-0000-FFFF-FFFF00000000}"/>
  </bookViews>
  <sheets>
    <sheet name="COVER" sheetId="1" r:id="rId1"/>
    <sheet name="PARAMETERS" sheetId="2" r:id="rId2"/>
    <sheet name="DEMAND_FORECAST" sheetId="3" r:id="rId3"/>
    <sheet name="ARGENTINA_SUPPLY" sheetId="4" r:id="rId4"/>
    <sheet name="MARKET_GAP" sheetId="5" r:id="rId5"/>
    <sheet name="AR_OPPORTUNITY" sheetId="6" r:id="rId6"/>
    <sheet name="COUNTRY_SCORING" sheetId="7" r:id="rId7"/>
    <sheet name="PATHWAYS" sheetId="8" r:id="rId8"/>
    <sheet name="RECOMMENDATIONS" sheetId="9" r:id="rId9"/>
    <sheet name="VALIDATION" sheetId="10" r:id="rId10"/>
    <sheet name="DASHBOARD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8" l="1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J27" i="7"/>
  <c r="I27" i="7"/>
  <c r="H27" i="7"/>
  <c r="G27" i="7"/>
  <c r="F27" i="7"/>
  <c r="E27" i="7"/>
  <c r="D27" i="7"/>
  <c r="C27" i="7"/>
  <c r="J17" i="7"/>
  <c r="J29" i="7" s="1"/>
  <c r="J30" i="7" s="1"/>
  <c r="I17" i="7"/>
  <c r="I29" i="7" s="1"/>
  <c r="I30" i="7" s="1"/>
  <c r="H17" i="7"/>
  <c r="H29" i="7" s="1"/>
  <c r="H30" i="7" s="1"/>
  <c r="G17" i="7"/>
  <c r="G29" i="7" s="1"/>
  <c r="G30" i="7" s="1"/>
  <c r="F17" i="7"/>
  <c r="F29" i="7" s="1"/>
  <c r="F30" i="7" s="1"/>
  <c r="E17" i="7"/>
  <c r="E29" i="7" s="1"/>
  <c r="E30" i="7" s="1"/>
  <c r="D17" i="7"/>
  <c r="D29" i="7" s="1"/>
  <c r="D30" i="7" s="1"/>
  <c r="C17" i="7"/>
  <c r="C29" i="7" s="1"/>
  <c r="R19" i="6"/>
  <c r="Q19" i="6"/>
  <c r="P19" i="6"/>
  <c r="O19" i="6"/>
  <c r="N19" i="6"/>
  <c r="M19" i="6"/>
  <c r="L19" i="6"/>
  <c r="K19" i="6"/>
  <c r="J19" i="6"/>
  <c r="I18" i="6"/>
  <c r="I19" i="6" s="1"/>
  <c r="H18" i="6"/>
  <c r="G18" i="6"/>
  <c r="F18" i="6"/>
  <c r="S18" i="6" s="1"/>
  <c r="H17" i="6"/>
  <c r="H19" i="6" s="1"/>
  <c r="G17" i="6"/>
  <c r="F17" i="6"/>
  <c r="E17" i="6"/>
  <c r="S17" i="6" s="1"/>
  <c r="G16" i="6"/>
  <c r="G19" i="6" s="1"/>
  <c r="F16" i="6"/>
  <c r="E16" i="6"/>
  <c r="D16" i="6"/>
  <c r="S16" i="6" s="1"/>
  <c r="F15" i="6"/>
  <c r="F19" i="6" s="1"/>
  <c r="E15" i="6"/>
  <c r="D15" i="6"/>
  <c r="C15" i="6"/>
  <c r="S15" i="6" s="1"/>
  <c r="E14" i="6"/>
  <c r="E19" i="6" s="1"/>
  <c r="D14" i="6"/>
  <c r="C14" i="6"/>
  <c r="S14" i="6" s="1"/>
  <c r="D13" i="6"/>
  <c r="D19" i="6" s="1"/>
  <c r="C13" i="6"/>
  <c r="S13" i="6" s="1"/>
  <c r="C12" i="6"/>
  <c r="R7" i="6"/>
  <c r="C14" i="11" s="1"/>
  <c r="Q7" i="6"/>
  <c r="P7" i="6"/>
  <c r="O7" i="6"/>
  <c r="N7" i="6"/>
  <c r="U7" i="6" s="1"/>
  <c r="M7" i="6"/>
  <c r="L7" i="6"/>
  <c r="K7" i="6"/>
  <c r="J7" i="6"/>
  <c r="I7" i="6"/>
  <c r="T7" i="6" s="1"/>
  <c r="H7" i="6"/>
  <c r="G7" i="6"/>
  <c r="F7" i="6"/>
  <c r="E7" i="6"/>
  <c r="D7" i="6"/>
  <c r="C7" i="6"/>
  <c r="R22" i="5"/>
  <c r="M14" i="10" s="1"/>
  <c r="Q22" i="5"/>
  <c r="P22" i="5"/>
  <c r="O22" i="5"/>
  <c r="N22" i="5"/>
  <c r="U22" i="5" s="1"/>
  <c r="M22" i="5"/>
  <c r="H14" i="10" s="1"/>
  <c r="L22" i="5"/>
  <c r="K22" i="5"/>
  <c r="J22" i="5"/>
  <c r="I22" i="5"/>
  <c r="T22" i="5" s="1"/>
  <c r="H22" i="5"/>
  <c r="C14" i="10" s="1"/>
  <c r="G22" i="5"/>
  <c r="F22" i="5"/>
  <c r="E22" i="5"/>
  <c r="D22" i="5"/>
  <c r="C22" i="5"/>
  <c r="S22" i="5" s="1"/>
  <c r="R14" i="5"/>
  <c r="N14" i="10" s="1"/>
  <c r="Q14" i="5"/>
  <c r="P14" i="5"/>
  <c r="O14" i="5"/>
  <c r="N14" i="5"/>
  <c r="U14" i="5" s="1"/>
  <c r="M14" i="5"/>
  <c r="I14" i="10" s="1"/>
  <c r="L14" i="5"/>
  <c r="K14" i="5"/>
  <c r="J14" i="5"/>
  <c r="I14" i="5"/>
  <c r="T14" i="5" s="1"/>
  <c r="H14" i="5"/>
  <c r="D14" i="10" s="1"/>
  <c r="G14" i="5"/>
  <c r="F14" i="5"/>
  <c r="E14" i="5"/>
  <c r="D14" i="5"/>
  <c r="C14" i="5"/>
  <c r="S14" i="5" s="1"/>
  <c r="R6" i="5"/>
  <c r="O14" i="10" s="1"/>
  <c r="P14" i="10" s="1"/>
  <c r="Q6" i="5"/>
  <c r="P6" i="5"/>
  <c r="O6" i="5"/>
  <c r="N6" i="5"/>
  <c r="U6" i="5" s="1"/>
  <c r="M6" i="5"/>
  <c r="J14" i="10" s="1"/>
  <c r="K14" i="10" s="1"/>
  <c r="L6" i="5"/>
  <c r="K6" i="5"/>
  <c r="J6" i="5"/>
  <c r="I6" i="5"/>
  <c r="T6" i="5" s="1"/>
  <c r="H6" i="5"/>
  <c r="E14" i="10" s="1"/>
  <c r="F14" i="10" s="1"/>
  <c r="G6" i="5"/>
  <c r="F6" i="5"/>
  <c r="E6" i="5"/>
  <c r="D6" i="5"/>
  <c r="C6" i="5"/>
  <c r="S6" i="5" s="1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V35" i="4"/>
  <c r="U35" i="4"/>
  <c r="T35" i="4"/>
  <c r="S35" i="4"/>
  <c r="V34" i="4"/>
  <c r="U34" i="4"/>
  <c r="T34" i="4"/>
  <c r="S34" i="4"/>
  <c r="V33" i="4"/>
  <c r="U33" i="4"/>
  <c r="T33" i="4"/>
  <c r="S33" i="4"/>
  <c r="V32" i="4"/>
  <c r="U32" i="4"/>
  <c r="T32" i="4"/>
  <c r="S32" i="4"/>
  <c r="V31" i="4"/>
  <c r="U31" i="4"/>
  <c r="T31" i="4"/>
  <c r="S31" i="4"/>
  <c r="V30" i="4"/>
  <c r="U30" i="4"/>
  <c r="T30" i="4"/>
  <c r="S30" i="4"/>
  <c r="V29" i="4"/>
  <c r="U29" i="4"/>
  <c r="T29" i="4"/>
  <c r="S29" i="4"/>
  <c r="V28" i="4"/>
  <c r="V36" i="4" s="1"/>
  <c r="U28" i="4"/>
  <c r="U36" i="4" s="1"/>
  <c r="T28" i="4"/>
  <c r="T36" i="4" s="1"/>
  <c r="S28" i="4"/>
  <c r="S36" i="4" s="1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V19" i="4"/>
  <c r="U19" i="4"/>
  <c r="T19" i="4"/>
  <c r="S19" i="4"/>
  <c r="V18" i="4"/>
  <c r="U18" i="4"/>
  <c r="T18" i="4"/>
  <c r="S18" i="4"/>
  <c r="V17" i="4"/>
  <c r="V25" i="4" s="1"/>
  <c r="U17" i="4"/>
  <c r="U25" i="4" s="1"/>
  <c r="T17" i="4"/>
  <c r="T25" i="4" s="1"/>
  <c r="S17" i="4"/>
  <c r="S25" i="4" s="1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V6" i="4"/>
  <c r="V14" i="4" s="1"/>
  <c r="U6" i="4"/>
  <c r="U14" i="4" s="1"/>
  <c r="T6" i="4"/>
  <c r="T14" i="4" s="1"/>
  <c r="S6" i="4"/>
  <c r="S14" i="4" s="1"/>
  <c r="C35" i="3"/>
  <c r="C34" i="3"/>
  <c r="C33" i="3"/>
  <c r="C32" i="3"/>
  <c r="C31" i="3"/>
  <c r="C30" i="3"/>
  <c r="C29" i="3"/>
  <c r="C28" i="3"/>
  <c r="C24" i="3"/>
  <c r="C23" i="3"/>
  <c r="C22" i="3"/>
  <c r="C21" i="3"/>
  <c r="C20" i="3"/>
  <c r="C19" i="3"/>
  <c r="C18" i="3"/>
  <c r="C17" i="3"/>
  <c r="D17" i="3" s="1"/>
  <c r="C13" i="3"/>
  <c r="C12" i="3"/>
  <c r="C11" i="3"/>
  <c r="C10" i="3"/>
  <c r="C9" i="3"/>
  <c r="C8" i="3"/>
  <c r="C7" i="3"/>
  <c r="C6" i="3"/>
  <c r="C21" i="2"/>
  <c r="D14" i="2"/>
  <c r="D13" i="2"/>
  <c r="C30" i="7" l="1"/>
  <c r="M5" i="11"/>
  <c r="C15" i="11"/>
  <c r="D15" i="11"/>
  <c r="E15" i="11"/>
  <c r="R48" i="8"/>
  <c r="R32" i="8"/>
  <c r="R16" i="8"/>
  <c r="Q16" i="8"/>
  <c r="Q48" i="8"/>
  <c r="Q32" i="8"/>
  <c r="P48" i="8"/>
  <c r="P16" i="8"/>
  <c r="P32" i="8"/>
  <c r="O16" i="8"/>
  <c r="O48" i="8"/>
  <c r="O32" i="8"/>
  <c r="N32" i="8"/>
  <c r="N16" i="8"/>
  <c r="N48" i="8"/>
  <c r="M16" i="8"/>
  <c r="M32" i="8"/>
  <c r="M48" i="8"/>
  <c r="L48" i="8"/>
  <c r="L32" i="8"/>
  <c r="L16" i="8"/>
  <c r="K32" i="8"/>
  <c r="K48" i="8"/>
  <c r="K16" i="8"/>
  <c r="J32" i="8"/>
  <c r="J48" i="8"/>
  <c r="J16" i="8"/>
  <c r="I16" i="8"/>
  <c r="I32" i="8"/>
  <c r="I48" i="8"/>
  <c r="H48" i="8"/>
  <c r="H16" i="8"/>
  <c r="H32" i="8"/>
  <c r="G32" i="8"/>
  <c r="G16" i="8"/>
  <c r="G48" i="8"/>
  <c r="F32" i="8"/>
  <c r="F48" i="8"/>
  <c r="F16" i="8"/>
  <c r="E16" i="8"/>
  <c r="E48" i="8"/>
  <c r="E32" i="8"/>
  <c r="D32" i="8"/>
  <c r="D48" i="8"/>
  <c r="D16" i="8"/>
  <c r="S12" i="6"/>
  <c r="C19" i="6"/>
  <c r="V7" i="6"/>
  <c r="J5" i="11" s="1"/>
  <c r="S7" i="6"/>
  <c r="R45" i="8"/>
  <c r="R47" i="8" s="1"/>
  <c r="R49" i="8" s="1"/>
  <c r="E74" i="10"/>
  <c r="R8" i="5"/>
  <c r="N22" i="10"/>
  <c r="C12" i="11"/>
  <c r="D5" i="11"/>
  <c r="E75" i="10"/>
  <c r="Q45" i="8"/>
  <c r="Q47" i="8" s="1"/>
  <c r="Q49" i="8" s="1"/>
  <c r="Q8" i="5"/>
  <c r="P45" i="8"/>
  <c r="P47" i="8" s="1"/>
  <c r="P49" i="8" s="1"/>
  <c r="P8" i="5"/>
  <c r="O45" i="8"/>
  <c r="O47" i="8" s="1"/>
  <c r="O49" i="8" s="1"/>
  <c r="O8" i="5"/>
  <c r="N45" i="8"/>
  <c r="N47" i="8" s="1"/>
  <c r="N49" i="8" s="1"/>
  <c r="N8" i="5"/>
  <c r="U8" i="5" s="1"/>
  <c r="M45" i="8"/>
  <c r="M47" i="8" s="1"/>
  <c r="M49" i="8" s="1"/>
  <c r="M8" i="5"/>
  <c r="D74" i="10"/>
  <c r="D75" i="10"/>
  <c r="I22" i="10"/>
  <c r="L45" i="8"/>
  <c r="L47" i="8" s="1"/>
  <c r="L49" i="8" s="1"/>
  <c r="L8" i="5"/>
  <c r="K45" i="8"/>
  <c r="K47" i="8" s="1"/>
  <c r="K49" i="8" s="1"/>
  <c r="K8" i="5"/>
  <c r="J45" i="8"/>
  <c r="J47" i="8" s="1"/>
  <c r="J49" i="8" s="1"/>
  <c r="J8" i="5"/>
  <c r="I45" i="8"/>
  <c r="I47" i="8" s="1"/>
  <c r="I49" i="8" s="1"/>
  <c r="I8" i="5"/>
  <c r="T8" i="5" s="1"/>
  <c r="C75" i="10"/>
  <c r="F75" i="10" s="1"/>
  <c r="C74" i="10"/>
  <c r="F74" i="10" s="1"/>
  <c r="H8" i="5"/>
  <c r="H45" i="8"/>
  <c r="H47" i="8" s="1"/>
  <c r="H49" i="8" s="1"/>
  <c r="D22" i="10"/>
  <c r="G45" i="8"/>
  <c r="G47" i="8" s="1"/>
  <c r="G49" i="8" s="1"/>
  <c r="G8" i="5"/>
  <c r="F8" i="5"/>
  <c r="F45" i="8"/>
  <c r="F47" i="8" s="1"/>
  <c r="F49" i="8" s="1"/>
  <c r="E8" i="5"/>
  <c r="E45" i="8"/>
  <c r="E47" i="8" s="1"/>
  <c r="E49" i="8" s="1"/>
  <c r="D8" i="5"/>
  <c r="D45" i="8"/>
  <c r="D47" i="8" s="1"/>
  <c r="D49" i="8" s="1"/>
  <c r="C45" i="8"/>
  <c r="C47" i="8" s="1"/>
  <c r="C8" i="5"/>
  <c r="S8" i="5" s="1"/>
  <c r="N64" i="10"/>
  <c r="E73" i="10"/>
  <c r="E72" i="10"/>
  <c r="E71" i="10"/>
  <c r="D12" i="11"/>
  <c r="R6" i="6"/>
  <c r="D14" i="11" s="1"/>
  <c r="N66" i="10"/>
  <c r="N65" i="10"/>
  <c r="R16" i="5"/>
  <c r="N63" i="10"/>
  <c r="N62" i="10"/>
  <c r="N55" i="10"/>
  <c r="R29" i="8"/>
  <c r="R31" i="8" s="1"/>
  <c r="N54" i="10"/>
  <c r="N53" i="10"/>
  <c r="N52" i="10"/>
  <c r="N51" i="10"/>
  <c r="N44" i="10"/>
  <c r="N43" i="10"/>
  <c r="N42" i="10"/>
  <c r="N41" i="10"/>
  <c r="N40" i="10"/>
  <c r="N21" i="10"/>
  <c r="Q6" i="6"/>
  <c r="Q29" i="8"/>
  <c r="Q31" i="8" s="1"/>
  <c r="Q16" i="5"/>
  <c r="P16" i="5"/>
  <c r="P6" i="6"/>
  <c r="P29" i="8"/>
  <c r="P31" i="8" s="1"/>
  <c r="O6" i="6"/>
  <c r="O16" i="5"/>
  <c r="O29" i="8"/>
  <c r="O31" i="8" s="1"/>
  <c r="N16" i="5"/>
  <c r="U16" i="5" s="1"/>
  <c r="N6" i="6"/>
  <c r="U6" i="6" s="1"/>
  <c r="N29" i="8"/>
  <c r="N31" i="8" s="1"/>
  <c r="I53" i="10"/>
  <c r="I51" i="10"/>
  <c r="D73" i="10"/>
  <c r="I40" i="10"/>
  <c r="D72" i="10"/>
  <c r="I41" i="10"/>
  <c r="D71" i="10"/>
  <c r="I66" i="10"/>
  <c r="M29" i="8"/>
  <c r="M31" i="8" s="1"/>
  <c r="I65" i="10"/>
  <c r="I64" i="10"/>
  <c r="M16" i="5"/>
  <c r="M6" i="6"/>
  <c r="I63" i="10"/>
  <c r="I62" i="10"/>
  <c r="I42" i="10"/>
  <c r="I55" i="10"/>
  <c r="I43" i="10"/>
  <c r="I54" i="10"/>
  <c r="I44" i="10"/>
  <c r="I52" i="10"/>
  <c r="I21" i="10"/>
  <c r="L29" i="8"/>
  <c r="L31" i="8" s="1"/>
  <c r="L6" i="6"/>
  <c r="L16" i="5"/>
  <c r="K6" i="6"/>
  <c r="K29" i="8"/>
  <c r="K31" i="8" s="1"/>
  <c r="K16" i="5"/>
  <c r="J29" i="8"/>
  <c r="J31" i="8" s="1"/>
  <c r="J6" i="6"/>
  <c r="J16" i="5"/>
  <c r="I6" i="6"/>
  <c r="T6" i="6" s="1"/>
  <c r="I16" i="5"/>
  <c r="T16" i="5" s="1"/>
  <c r="I29" i="8"/>
  <c r="I31" i="8" s="1"/>
  <c r="D40" i="10"/>
  <c r="D62" i="10"/>
  <c r="D42" i="10"/>
  <c r="D43" i="10"/>
  <c r="D63" i="10"/>
  <c r="D55" i="10"/>
  <c r="D64" i="10"/>
  <c r="C73" i="10"/>
  <c r="F73" i="10" s="1"/>
  <c r="D41" i="10"/>
  <c r="C72" i="10"/>
  <c r="F72" i="10" s="1"/>
  <c r="D21" i="10"/>
  <c r="C71" i="10"/>
  <c r="F71" i="10" s="1"/>
  <c r="D52" i="10"/>
  <c r="H16" i="5"/>
  <c r="D44" i="10"/>
  <c r="D54" i="10"/>
  <c r="H29" i="8"/>
  <c r="H31" i="8" s="1"/>
  <c r="H33" i="8" s="1"/>
  <c r="H6" i="6"/>
  <c r="D53" i="10"/>
  <c r="D66" i="10"/>
  <c r="D51" i="10"/>
  <c r="D65" i="10"/>
  <c r="G16" i="5"/>
  <c r="G6" i="6"/>
  <c r="G29" i="8"/>
  <c r="G31" i="8" s="1"/>
  <c r="G33" i="8" s="1"/>
  <c r="F29" i="8"/>
  <c r="F31" i="8" s="1"/>
  <c r="F33" i="8" s="1"/>
  <c r="F16" i="5"/>
  <c r="F6" i="6"/>
  <c r="E16" i="5"/>
  <c r="E29" i="8"/>
  <c r="E31" i="8" s="1"/>
  <c r="E33" i="8" s="1"/>
  <c r="E6" i="6"/>
  <c r="D29" i="8"/>
  <c r="D31" i="8" s="1"/>
  <c r="D33" i="8" s="1"/>
  <c r="D16" i="5"/>
  <c r="D6" i="6"/>
  <c r="C6" i="6"/>
  <c r="C16" i="5"/>
  <c r="S16" i="5" s="1"/>
  <c r="C29" i="8"/>
  <c r="C31" i="8" s="1"/>
  <c r="R13" i="8"/>
  <c r="R15" i="8" s="1"/>
  <c r="R17" i="8" s="1"/>
  <c r="E12" i="11"/>
  <c r="R5" i="6"/>
  <c r="E14" i="11" s="1"/>
  <c r="N20" i="10"/>
  <c r="E70" i="10"/>
  <c r="R24" i="5"/>
  <c r="Q5" i="6"/>
  <c r="Q13" i="8"/>
  <c r="Q15" i="8" s="1"/>
  <c r="Q17" i="8" s="1"/>
  <c r="Q24" i="5"/>
  <c r="P13" i="8"/>
  <c r="P15" i="8" s="1"/>
  <c r="P17" i="8" s="1"/>
  <c r="P24" i="5"/>
  <c r="P5" i="6"/>
  <c r="O5" i="6"/>
  <c r="O13" i="8"/>
  <c r="O15" i="8" s="1"/>
  <c r="O17" i="8" s="1"/>
  <c r="O24" i="5"/>
  <c r="N24" i="5"/>
  <c r="U24" i="5" s="1"/>
  <c r="N13" i="8"/>
  <c r="N15" i="8" s="1"/>
  <c r="N17" i="8" s="1"/>
  <c r="N5" i="6"/>
  <c r="U5" i="6" s="1"/>
  <c r="I20" i="10"/>
  <c r="D70" i="10"/>
  <c r="M24" i="5"/>
  <c r="M13" i="8"/>
  <c r="M15" i="8" s="1"/>
  <c r="M17" i="8" s="1"/>
  <c r="M5" i="6"/>
  <c r="L5" i="6"/>
  <c r="L24" i="5"/>
  <c r="L13" i="8"/>
  <c r="L15" i="8" s="1"/>
  <c r="L17" i="8" s="1"/>
  <c r="K5" i="6"/>
  <c r="K24" i="5"/>
  <c r="K13" i="8"/>
  <c r="K15" i="8" s="1"/>
  <c r="K17" i="8" s="1"/>
  <c r="J5" i="6"/>
  <c r="J24" i="5"/>
  <c r="J13" i="8"/>
  <c r="J15" i="8" s="1"/>
  <c r="J17" i="8" s="1"/>
  <c r="I5" i="6"/>
  <c r="T5" i="6" s="1"/>
  <c r="I24" i="5"/>
  <c r="T24" i="5" s="1"/>
  <c r="I13" i="8"/>
  <c r="I15" i="8" s="1"/>
  <c r="H13" i="8"/>
  <c r="H15" i="8" s="1"/>
  <c r="H5" i="6"/>
  <c r="H24" i="5"/>
  <c r="C70" i="10"/>
  <c r="D20" i="10"/>
  <c r="G13" i="8"/>
  <c r="G15" i="8" s="1"/>
  <c r="G24" i="5"/>
  <c r="G5" i="6"/>
  <c r="F13" i="8"/>
  <c r="F15" i="8" s="1"/>
  <c r="F5" i="6"/>
  <c r="F24" i="5"/>
  <c r="E13" i="8"/>
  <c r="E15" i="8" s="1"/>
  <c r="E5" i="6"/>
  <c r="E24" i="5"/>
  <c r="D5" i="6"/>
  <c r="D13" i="8"/>
  <c r="D15" i="8" s="1"/>
  <c r="D24" i="5"/>
  <c r="C5" i="6"/>
  <c r="C13" i="8"/>
  <c r="C15" i="8" s="1"/>
  <c r="C24" i="5"/>
  <c r="S24" i="5" s="1"/>
  <c r="D35" i="3"/>
  <c r="E35" i="3" s="1"/>
  <c r="F35" i="3" s="1"/>
  <c r="G35" i="3" s="1"/>
  <c r="H35" i="3" s="1"/>
  <c r="S35" i="3"/>
  <c r="D34" i="3"/>
  <c r="E34" i="3" s="1"/>
  <c r="F34" i="3" s="1"/>
  <c r="G34" i="3" s="1"/>
  <c r="H34" i="3" s="1"/>
  <c r="S34" i="3"/>
  <c r="D33" i="3"/>
  <c r="E33" i="3" s="1"/>
  <c r="F33" i="3" s="1"/>
  <c r="G33" i="3" s="1"/>
  <c r="H33" i="3" s="1"/>
  <c r="S33" i="3" s="1"/>
  <c r="D32" i="3"/>
  <c r="E32" i="3" s="1"/>
  <c r="F32" i="3" s="1"/>
  <c r="G32" i="3" s="1"/>
  <c r="H32" i="3" s="1"/>
  <c r="S32" i="3" s="1"/>
  <c r="D31" i="3"/>
  <c r="E31" i="3" s="1"/>
  <c r="F31" i="3" s="1"/>
  <c r="G31" i="3" s="1"/>
  <c r="H31" i="3" s="1"/>
  <c r="S31" i="3" s="1"/>
  <c r="D30" i="3"/>
  <c r="E30" i="3" s="1"/>
  <c r="F30" i="3" s="1"/>
  <c r="G30" i="3" s="1"/>
  <c r="H30" i="3" s="1"/>
  <c r="S30" i="3"/>
  <c r="D29" i="3"/>
  <c r="E29" i="3" s="1"/>
  <c r="F29" i="3" s="1"/>
  <c r="G29" i="3" s="1"/>
  <c r="H29" i="3" s="1"/>
  <c r="S29" i="3" s="1"/>
  <c r="C36" i="3"/>
  <c r="D28" i="3"/>
  <c r="D24" i="3"/>
  <c r="E24" i="3" s="1"/>
  <c r="F24" i="3" s="1"/>
  <c r="G24" i="3" s="1"/>
  <c r="H24" i="3" s="1"/>
  <c r="S24" i="3" s="1"/>
  <c r="D23" i="3"/>
  <c r="E23" i="3" s="1"/>
  <c r="F23" i="3" s="1"/>
  <c r="G23" i="3" s="1"/>
  <c r="H23" i="3" s="1"/>
  <c r="S23" i="3" s="1"/>
  <c r="D22" i="3"/>
  <c r="E22" i="3" s="1"/>
  <c r="F22" i="3" s="1"/>
  <c r="G22" i="3" s="1"/>
  <c r="H22" i="3" s="1"/>
  <c r="S22" i="3"/>
  <c r="D21" i="3"/>
  <c r="E21" i="3" s="1"/>
  <c r="F21" i="3" s="1"/>
  <c r="G21" i="3" s="1"/>
  <c r="H21" i="3" s="1"/>
  <c r="S21" i="3"/>
  <c r="D20" i="3"/>
  <c r="E20" i="3" s="1"/>
  <c r="F20" i="3" s="1"/>
  <c r="G20" i="3" s="1"/>
  <c r="H20" i="3" s="1"/>
  <c r="S20" i="3"/>
  <c r="D19" i="3"/>
  <c r="C25" i="3"/>
  <c r="S18" i="3"/>
  <c r="D18" i="3"/>
  <c r="E18" i="3" s="1"/>
  <c r="F18" i="3" s="1"/>
  <c r="G18" i="3" s="1"/>
  <c r="H18" i="3" s="1"/>
  <c r="E17" i="3"/>
  <c r="D13" i="3"/>
  <c r="E13" i="3" s="1"/>
  <c r="F13" i="3" s="1"/>
  <c r="G13" i="3" s="1"/>
  <c r="H13" i="3" s="1"/>
  <c r="S13" i="3" s="1"/>
  <c r="D12" i="3"/>
  <c r="E12" i="3" s="1"/>
  <c r="F12" i="3" s="1"/>
  <c r="G12" i="3" s="1"/>
  <c r="H12" i="3" s="1"/>
  <c r="S12" i="3" s="1"/>
  <c r="D11" i="3"/>
  <c r="E11" i="3" s="1"/>
  <c r="F11" i="3" s="1"/>
  <c r="G11" i="3" s="1"/>
  <c r="H11" i="3" s="1"/>
  <c r="S11" i="3" s="1"/>
  <c r="D10" i="3"/>
  <c r="E10" i="3" s="1"/>
  <c r="F10" i="3" s="1"/>
  <c r="G10" i="3" s="1"/>
  <c r="H10" i="3" s="1"/>
  <c r="S10" i="3"/>
  <c r="D9" i="3"/>
  <c r="E9" i="3" s="1"/>
  <c r="F9" i="3" s="1"/>
  <c r="G9" i="3" s="1"/>
  <c r="H9" i="3" s="1"/>
  <c r="S9" i="3" s="1"/>
  <c r="D8" i="3"/>
  <c r="E8" i="3" s="1"/>
  <c r="F8" i="3" s="1"/>
  <c r="G8" i="3" s="1"/>
  <c r="H8" i="3" s="1"/>
  <c r="S8" i="3" s="1"/>
  <c r="D7" i="3"/>
  <c r="E7" i="3" s="1"/>
  <c r="F7" i="3" s="1"/>
  <c r="G7" i="3" s="1"/>
  <c r="H7" i="3" s="1"/>
  <c r="S7" i="3" s="1"/>
  <c r="D6" i="3"/>
  <c r="C14" i="3"/>
  <c r="D20" i="2"/>
  <c r="D19" i="2"/>
  <c r="D18" i="2"/>
  <c r="D17" i="2"/>
  <c r="D16" i="2"/>
  <c r="D15" i="2"/>
  <c r="D21" i="2" s="1"/>
  <c r="S19" i="6" l="1"/>
  <c r="P5" i="11" s="1"/>
  <c r="C16" i="8"/>
  <c r="C17" i="8" s="1"/>
  <c r="C48" i="8"/>
  <c r="C49" i="8" s="1"/>
  <c r="C32" i="8"/>
  <c r="C33" i="8" s="1"/>
  <c r="V6" i="6"/>
  <c r="S6" i="6"/>
  <c r="S5" i="6"/>
  <c r="V5" i="6"/>
  <c r="I35" i="3"/>
  <c r="J35" i="3" s="1"/>
  <c r="K35" i="3" s="1"/>
  <c r="L35" i="3" s="1"/>
  <c r="M35" i="3" s="1"/>
  <c r="T35" i="3"/>
  <c r="I34" i="3"/>
  <c r="J34" i="3" s="1"/>
  <c r="K34" i="3" s="1"/>
  <c r="L34" i="3" s="1"/>
  <c r="M34" i="3" s="1"/>
  <c r="T34" i="3"/>
  <c r="I33" i="3"/>
  <c r="J33" i="3" s="1"/>
  <c r="K33" i="3" s="1"/>
  <c r="L33" i="3" s="1"/>
  <c r="M33" i="3" s="1"/>
  <c r="T33" i="3" s="1"/>
  <c r="I32" i="3"/>
  <c r="J32" i="3" s="1"/>
  <c r="K32" i="3" s="1"/>
  <c r="L32" i="3" s="1"/>
  <c r="M32" i="3" s="1"/>
  <c r="T32" i="3" s="1"/>
  <c r="I31" i="3"/>
  <c r="J31" i="3" s="1"/>
  <c r="K31" i="3" s="1"/>
  <c r="L31" i="3" s="1"/>
  <c r="M31" i="3" s="1"/>
  <c r="T31" i="3" s="1"/>
  <c r="I30" i="3"/>
  <c r="J30" i="3" s="1"/>
  <c r="K30" i="3" s="1"/>
  <c r="L30" i="3" s="1"/>
  <c r="M30" i="3" s="1"/>
  <c r="T30" i="3" s="1"/>
  <c r="I29" i="3"/>
  <c r="J29" i="3" s="1"/>
  <c r="K29" i="3" s="1"/>
  <c r="L29" i="3" s="1"/>
  <c r="M29" i="3" s="1"/>
  <c r="T29" i="3"/>
  <c r="C21" i="5"/>
  <c r="E28" i="3"/>
  <c r="D36" i="3"/>
  <c r="D21" i="5" s="1"/>
  <c r="I24" i="3"/>
  <c r="J24" i="3" s="1"/>
  <c r="K24" i="3" s="1"/>
  <c r="L24" i="3" s="1"/>
  <c r="M24" i="3" s="1"/>
  <c r="T24" i="3"/>
  <c r="I23" i="3"/>
  <c r="J23" i="3" s="1"/>
  <c r="K23" i="3" s="1"/>
  <c r="L23" i="3" s="1"/>
  <c r="M23" i="3" s="1"/>
  <c r="T23" i="3"/>
  <c r="I22" i="3"/>
  <c r="J22" i="3" s="1"/>
  <c r="K22" i="3" s="1"/>
  <c r="L22" i="3" s="1"/>
  <c r="M22" i="3" s="1"/>
  <c r="T22" i="3"/>
  <c r="I21" i="3"/>
  <c r="J21" i="3" s="1"/>
  <c r="K21" i="3" s="1"/>
  <c r="L21" i="3" s="1"/>
  <c r="M21" i="3" s="1"/>
  <c r="T21" i="3"/>
  <c r="I20" i="3"/>
  <c r="J20" i="3" s="1"/>
  <c r="K20" i="3" s="1"/>
  <c r="L20" i="3" s="1"/>
  <c r="M20" i="3" s="1"/>
  <c r="T20" i="3"/>
  <c r="C13" i="5"/>
  <c r="I18" i="3"/>
  <c r="J18" i="3" s="1"/>
  <c r="K18" i="3" s="1"/>
  <c r="L18" i="3" s="1"/>
  <c r="M18" i="3" s="1"/>
  <c r="T18" i="3" s="1"/>
  <c r="F17" i="3"/>
  <c r="E25" i="3"/>
  <c r="E13" i="5" s="1"/>
  <c r="I13" i="3"/>
  <c r="J13" i="3" s="1"/>
  <c r="K13" i="3" s="1"/>
  <c r="L13" i="3" s="1"/>
  <c r="M13" i="3" s="1"/>
  <c r="T13" i="3" s="1"/>
  <c r="I12" i="3"/>
  <c r="J12" i="3" s="1"/>
  <c r="K12" i="3" s="1"/>
  <c r="L12" i="3" s="1"/>
  <c r="M12" i="3" s="1"/>
  <c r="T12" i="3"/>
  <c r="I11" i="3"/>
  <c r="J11" i="3" s="1"/>
  <c r="K11" i="3" s="1"/>
  <c r="L11" i="3" s="1"/>
  <c r="M11" i="3" s="1"/>
  <c r="T11" i="3"/>
  <c r="I10" i="3"/>
  <c r="J10" i="3" s="1"/>
  <c r="K10" i="3" s="1"/>
  <c r="L10" i="3" s="1"/>
  <c r="M10" i="3" s="1"/>
  <c r="T10" i="3"/>
  <c r="I9" i="3"/>
  <c r="J9" i="3" s="1"/>
  <c r="K9" i="3" s="1"/>
  <c r="L9" i="3" s="1"/>
  <c r="M9" i="3" s="1"/>
  <c r="T9" i="3" s="1"/>
  <c r="I8" i="3"/>
  <c r="J8" i="3" s="1"/>
  <c r="K8" i="3" s="1"/>
  <c r="L8" i="3" s="1"/>
  <c r="M8" i="3" s="1"/>
  <c r="T8" i="3"/>
  <c r="I7" i="3"/>
  <c r="J7" i="3" s="1"/>
  <c r="K7" i="3" s="1"/>
  <c r="L7" i="3" s="1"/>
  <c r="M7" i="3" s="1"/>
  <c r="T7" i="3" s="1"/>
  <c r="D14" i="3"/>
  <c r="D5" i="5" s="1"/>
  <c r="E6" i="3"/>
  <c r="C5" i="5"/>
  <c r="R33" i="8"/>
  <c r="Q33" i="8"/>
  <c r="P33" i="8"/>
  <c r="O33" i="8"/>
  <c r="N33" i="8"/>
  <c r="M33" i="8"/>
  <c r="L33" i="8"/>
  <c r="K33" i="8"/>
  <c r="J33" i="8"/>
  <c r="I33" i="8"/>
  <c r="I17" i="8"/>
  <c r="H17" i="8"/>
  <c r="F70" i="10"/>
  <c r="G17" i="8"/>
  <c r="F17" i="8"/>
  <c r="E17" i="8"/>
  <c r="D17" i="8"/>
  <c r="E19" i="3"/>
  <c r="F19" i="3" s="1"/>
  <c r="G19" i="3" s="1"/>
  <c r="H19" i="3" s="1"/>
  <c r="D25" i="3"/>
  <c r="D13" i="5" s="1"/>
  <c r="N35" i="3" l="1"/>
  <c r="O35" i="3" s="1"/>
  <c r="P35" i="3" s="1"/>
  <c r="Q35" i="3" s="1"/>
  <c r="R35" i="3" s="1"/>
  <c r="N34" i="3"/>
  <c r="O34" i="3" s="1"/>
  <c r="P34" i="3" s="1"/>
  <c r="Q34" i="3" s="1"/>
  <c r="R34" i="3" s="1"/>
  <c r="N33" i="3"/>
  <c r="O33" i="3" s="1"/>
  <c r="P33" i="3" s="1"/>
  <c r="Q33" i="3" s="1"/>
  <c r="R33" i="3" s="1"/>
  <c r="N32" i="3"/>
  <c r="O32" i="3" s="1"/>
  <c r="P32" i="3" s="1"/>
  <c r="Q32" i="3" s="1"/>
  <c r="R32" i="3" s="1"/>
  <c r="N31" i="3"/>
  <c r="O31" i="3" s="1"/>
  <c r="P31" i="3" s="1"/>
  <c r="Q31" i="3" s="1"/>
  <c r="R31" i="3" s="1"/>
  <c r="N30" i="3"/>
  <c r="O30" i="3" s="1"/>
  <c r="P30" i="3" s="1"/>
  <c r="Q30" i="3" s="1"/>
  <c r="R30" i="3" s="1"/>
  <c r="N29" i="3"/>
  <c r="O29" i="3" s="1"/>
  <c r="P29" i="3" s="1"/>
  <c r="Q29" i="3" s="1"/>
  <c r="R29" i="3" s="1"/>
  <c r="C23" i="5"/>
  <c r="C26" i="5"/>
  <c r="F28" i="3"/>
  <c r="E36" i="3"/>
  <c r="E21" i="5" s="1"/>
  <c r="D23" i="5"/>
  <c r="D25" i="5" s="1"/>
  <c r="D26" i="5"/>
  <c r="N24" i="3"/>
  <c r="O24" i="3" s="1"/>
  <c r="P24" i="3" s="1"/>
  <c r="Q24" i="3" s="1"/>
  <c r="R24" i="3" s="1"/>
  <c r="V24" i="3" s="1"/>
  <c r="U24" i="3"/>
  <c r="N23" i="3"/>
  <c r="O23" i="3" s="1"/>
  <c r="P23" i="3" s="1"/>
  <c r="Q23" i="3" s="1"/>
  <c r="R23" i="3" s="1"/>
  <c r="V23" i="3" s="1"/>
  <c r="U23" i="3"/>
  <c r="N22" i="3"/>
  <c r="O22" i="3" s="1"/>
  <c r="P22" i="3" s="1"/>
  <c r="Q22" i="3" s="1"/>
  <c r="R22" i="3" s="1"/>
  <c r="V22" i="3" s="1"/>
  <c r="U22" i="3"/>
  <c r="N21" i="3"/>
  <c r="O21" i="3" s="1"/>
  <c r="P21" i="3" s="1"/>
  <c r="Q21" i="3" s="1"/>
  <c r="R21" i="3" s="1"/>
  <c r="V21" i="3" s="1"/>
  <c r="U21" i="3"/>
  <c r="N20" i="3"/>
  <c r="O20" i="3" s="1"/>
  <c r="P20" i="3" s="1"/>
  <c r="Q20" i="3" s="1"/>
  <c r="R20" i="3" s="1"/>
  <c r="V20" i="3" s="1"/>
  <c r="U20" i="3"/>
  <c r="C15" i="5"/>
  <c r="C18" i="5"/>
  <c r="N18" i="3"/>
  <c r="O18" i="3" s="1"/>
  <c r="P18" i="3" s="1"/>
  <c r="Q18" i="3" s="1"/>
  <c r="R18" i="3" s="1"/>
  <c r="V18" i="3" s="1"/>
  <c r="U18" i="3"/>
  <c r="G17" i="3"/>
  <c r="F25" i="3"/>
  <c r="F13" i="5" s="1"/>
  <c r="E15" i="5"/>
  <c r="E17" i="5" s="1"/>
  <c r="E18" i="5"/>
  <c r="N13" i="3"/>
  <c r="O13" i="3" s="1"/>
  <c r="P13" i="3" s="1"/>
  <c r="Q13" i="3" s="1"/>
  <c r="R13" i="3" s="1"/>
  <c r="N12" i="3"/>
  <c r="O12" i="3" s="1"/>
  <c r="P12" i="3" s="1"/>
  <c r="Q12" i="3" s="1"/>
  <c r="R12" i="3" s="1"/>
  <c r="V12" i="3" s="1"/>
  <c r="U12" i="3"/>
  <c r="N11" i="3"/>
  <c r="O11" i="3" s="1"/>
  <c r="P11" i="3" s="1"/>
  <c r="Q11" i="3" s="1"/>
  <c r="R11" i="3" s="1"/>
  <c r="V11" i="3" s="1"/>
  <c r="U11" i="3"/>
  <c r="N10" i="3"/>
  <c r="O10" i="3" s="1"/>
  <c r="P10" i="3" s="1"/>
  <c r="Q10" i="3" s="1"/>
  <c r="R10" i="3" s="1"/>
  <c r="N9" i="3"/>
  <c r="O9" i="3" s="1"/>
  <c r="P9" i="3" s="1"/>
  <c r="Q9" i="3" s="1"/>
  <c r="R9" i="3" s="1"/>
  <c r="V9" i="3" s="1"/>
  <c r="U9" i="3"/>
  <c r="N8" i="3"/>
  <c r="O8" i="3" s="1"/>
  <c r="P8" i="3" s="1"/>
  <c r="Q8" i="3" s="1"/>
  <c r="R8" i="3" s="1"/>
  <c r="V8" i="3" s="1"/>
  <c r="U8" i="3"/>
  <c r="N7" i="3"/>
  <c r="O7" i="3" s="1"/>
  <c r="P7" i="3" s="1"/>
  <c r="Q7" i="3" s="1"/>
  <c r="R7" i="3" s="1"/>
  <c r="D7" i="5"/>
  <c r="D9" i="5" s="1"/>
  <c r="D10" i="5"/>
  <c r="F6" i="3"/>
  <c r="E14" i="3"/>
  <c r="E5" i="5" s="1"/>
  <c r="C7" i="5"/>
  <c r="C10" i="5"/>
  <c r="I19" i="3"/>
  <c r="J19" i="3" s="1"/>
  <c r="K19" i="3" s="1"/>
  <c r="L19" i="3" s="1"/>
  <c r="M19" i="3" s="1"/>
  <c r="T19" i="3" s="1"/>
  <c r="S19" i="3"/>
  <c r="D18" i="5"/>
  <c r="D15" i="5"/>
  <c r="D17" i="5" s="1"/>
  <c r="C25" i="5" l="1"/>
  <c r="G28" i="3"/>
  <c r="F36" i="3"/>
  <c r="F21" i="5" s="1"/>
  <c r="E23" i="5"/>
  <c r="E26" i="5"/>
  <c r="C17" i="5"/>
  <c r="H17" i="3"/>
  <c r="G25" i="3"/>
  <c r="G13" i="5" s="1"/>
  <c r="F15" i="5"/>
  <c r="F17" i="5" s="1"/>
  <c r="F18" i="5"/>
  <c r="G6" i="3"/>
  <c r="F14" i="3"/>
  <c r="F5" i="5" s="1"/>
  <c r="E7" i="5"/>
  <c r="E9" i="5" s="1"/>
  <c r="E10" i="5"/>
  <c r="C9" i="5"/>
  <c r="N19" i="3"/>
  <c r="O19" i="3" s="1"/>
  <c r="P19" i="3" s="1"/>
  <c r="Q19" i="3" s="1"/>
  <c r="R19" i="3" s="1"/>
  <c r="V35" i="3"/>
  <c r="U35" i="3"/>
  <c r="V34" i="3"/>
  <c r="U34" i="3"/>
  <c r="V33" i="3"/>
  <c r="U33" i="3"/>
  <c r="V32" i="3"/>
  <c r="U32" i="3"/>
  <c r="V31" i="3"/>
  <c r="U31" i="3"/>
  <c r="V30" i="3"/>
  <c r="U30" i="3"/>
  <c r="V29" i="3"/>
  <c r="U29" i="3"/>
  <c r="V13" i="3"/>
  <c r="U13" i="3"/>
  <c r="V10" i="3"/>
  <c r="U10" i="3"/>
  <c r="V7" i="3"/>
  <c r="U7" i="3"/>
  <c r="H28" i="3" l="1"/>
  <c r="G36" i="3"/>
  <c r="G21" i="5" s="1"/>
  <c r="F23" i="5"/>
  <c r="F26" i="5"/>
  <c r="I17" i="3"/>
  <c r="S17" i="3"/>
  <c r="H25" i="3"/>
  <c r="G15" i="5"/>
  <c r="G18" i="5"/>
  <c r="H6" i="3"/>
  <c r="G14" i="3"/>
  <c r="G5" i="5" s="1"/>
  <c r="F7" i="5"/>
  <c r="F10" i="5"/>
  <c r="E25" i="5"/>
  <c r="V19" i="3"/>
  <c r="U19" i="3"/>
  <c r="S28" i="3" l="1"/>
  <c r="I28" i="3"/>
  <c r="H36" i="3"/>
  <c r="G23" i="5"/>
  <c r="G25" i="5" s="1"/>
  <c r="G26" i="5"/>
  <c r="J17" i="3"/>
  <c r="I25" i="3"/>
  <c r="I13" i="5" s="1"/>
  <c r="S25" i="3"/>
  <c r="H13" i="5"/>
  <c r="D8" i="10"/>
  <c r="D11" i="10"/>
  <c r="D12" i="10"/>
  <c r="D28" i="10"/>
  <c r="G17" i="5"/>
  <c r="S6" i="3"/>
  <c r="I6" i="3"/>
  <c r="H14" i="3"/>
  <c r="G7" i="5"/>
  <c r="G10" i="5"/>
  <c r="F9" i="5"/>
  <c r="F25" i="5"/>
  <c r="J28" i="3" l="1"/>
  <c r="I36" i="3"/>
  <c r="I21" i="5" s="1"/>
  <c r="S36" i="3"/>
  <c r="C8" i="10"/>
  <c r="C11" i="10"/>
  <c r="C12" i="10"/>
  <c r="D27" i="10"/>
  <c r="H21" i="5"/>
  <c r="K17" i="3"/>
  <c r="J25" i="3"/>
  <c r="J13" i="5" s="1"/>
  <c r="I15" i="5"/>
  <c r="I18" i="5"/>
  <c r="S13" i="5"/>
  <c r="H15" i="5"/>
  <c r="D16" i="10" s="1"/>
  <c r="H18" i="5"/>
  <c r="S18" i="5" s="1"/>
  <c r="J6" i="3"/>
  <c r="I14" i="3"/>
  <c r="I5" i="5" s="1"/>
  <c r="S14" i="3"/>
  <c r="H5" i="5"/>
  <c r="E8" i="10"/>
  <c r="E11" i="10"/>
  <c r="E12" i="10"/>
  <c r="D29" i="10"/>
  <c r="G9" i="5"/>
  <c r="K28" i="3" l="1"/>
  <c r="J36" i="3"/>
  <c r="J21" i="5" s="1"/>
  <c r="I23" i="5"/>
  <c r="I26" i="5"/>
  <c r="S21" i="5"/>
  <c r="H23" i="5"/>
  <c r="C16" i="10" s="1"/>
  <c r="F16" i="10" s="1"/>
  <c r="H26" i="5"/>
  <c r="S26" i="5" s="1"/>
  <c r="L17" i="3"/>
  <c r="K25" i="3"/>
  <c r="K13" i="5" s="1"/>
  <c r="J15" i="5"/>
  <c r="J17" i="5" s="1"/>
  <c r="J18" i="5"/>
  <c r="I17" i="5"/>
  <c r="S15" i="5"/>
  <c r="H17" i="5"/>
  <c r="S17" i="5" s="1"/>
  <c r="D15" i="10"/>
  <c r="J14" i="3"/>
  <c r="J5" i="5" s="1"/>
  <c r="K6" i="3"/>
  <c r="I7" i="5"/>
  <c r="I10" i="5"/>
  <c r="S5" i="5"/>
  <c r="H7" i="5"/>
  <c r="H10" i="5"/>
  <c r="S10" i="5" s="1"/>
  <c r="E16" i="10"/>
  <c r="F8" i="10"/>
  <c r="F11" i="10"/>
  <c r="F12" i="10"/>
  <c r="L28" i="3" l="1"/>
  <c r="K36" i="3"/>
  <c r="K21" i="5" s="1"/>
  <c r="J23" i="5"/>
  <c r="J25" i="5" s="1"/>
  <c r="J26" i="5"/>
  <c r="I25" i="5"/>
  <c r="S23" i="5"/>
  <c r="H25" i="5"/>
  <c r="S25" i="5" s="1"/>
  <c r="C15" i="10"/>
  <c r="M17" i="3"/>
  <c r="L25" i="3"/>
  <c r="L13" i="5" s="1"/>
  <c r="K15" i="5"/>
  <c r="K18" i="5"/>
  <c r="J7" i="5"/>
  <c r="J10" i="5"/>
  <c r="L6" i="3"/>
  <c r="K14" i="3"/>
  <c r="K5" i="5" s="1"/>
  <c r="I9" i="5"/>
  <c r="S7" i="5"/>
  <c r="H9" i="5"/>
  <c r="S9" i="5" s="1"/>
  <c r="E15" i="10"/>
  <c r="M28" i="3" l="1"/>
  <c r="L36" i="3"/>
  <c r="L21" i="5" s="1"/>
  <c r="K23" i="5"/>
  <c r="K26" i="5"/>
  <c r="T17" i="3"/>
  <c r="N17" i="3"/>
  <c r="M25" i="3"/>
  <c r="L15" i="5"/>
  <c r="L17" i="5" s="1"/>
  <c r="L18" i="5"/>
  <c r="K17" i="5"/>
  <c r="L14" i="3"/>
  <c r="L5" i="5" s="1"/>
  <c r="M6" i="3"/>
  <c r="K7" i="5"/>
  <c r="K9" i="5" s="1"/>
  <c r="K10" i="5"/>
  <c r="F15" i="10"/>
  <c r="J9" i="5"/>
  <c r="T28" i="3" l="1"/>
  <c r="N28" i="3"/>
  <c r="M36" i="3"/>
  <c r="L23" i="5"/>
  <c r="L25" i="5" s="1"/>
  <c r="L26" i="5"/>
  <c r="K25" i="5"/>
  <c r="O17" i="3"/>
  <c r="N25" i="3"/>
  <c r="N13" i="5" s="1"/>
  <c r="T25" i="3"/>
  <c r="M13" i="5"/>
  <c r="I8" i="10"/>
  <c r="I11" i="10"/>
  <c r="I12" i="10"/>
  <c r="I28" i="10"/>
  <c r="L7" i="5"/>
  <c r="L10" i="5"/>
  <c r="T6" i="3"/>
  <c r="N6" i="3"/>
  <c r="M14" i="3"/>
  <c r="O28" i="3" l="1"/>
  <c r="N36" i="3"/>
  <c r="N21" i="5" s="1"/>
  <c r="T36" i="3"/>
  <c r="M21" i="5"/>
  <c r="H8" i="10"/>
  <c r="H11" i="10"/>
  <c r="H12" i="10"/>
  <c r="I27" i="10"/>
  <c r="P17" i="3"/>
  <c r="O25" i="3"/>
  <c r="O13" i="5" s="1"/>
  <c r="N15" i="5"/>
  <c r="N18" i="5"/>
  <c r="T13" i="5"/>
  <c r="M15" i="5"/>
  <c r="I16" i="10" s="1"/>
  <c r="M18" i="5"/>
  <c r="T18" i="5" s="1"/>
  <c r="L9" i="5"/>
  <c r="N14" i="3"/>
  <c r="N5" i="5" s="1"/>
  <c r="O6" i="3"/>
  <c r="T14" i="3"/>
  <c r="M5" i="5"/>
  <c r="J8" i="10"/>
  <c r="K8" i="10" s="1"/>
  <c r="J11" i="10"/>
  <c r="K11" i="10" s="1"/>
  <c r="J12" i="10"/>
  <c r="I29" i="10"/>
  <c r="P28" i="3" l="1"/>
  <c r="O36" i="3"/>
  <c r="O21" i="5" s="1"/>
  <c r="N23" i="5"/>
  <c r="N26" i="5"/>
  <c r="T21" i="5"/>
  <c r="M23" i="5"/>
  <c r="M26" i="5"/>
  <c r="T26" i="5" s="1"/>
  <c r="H16" i="10"/>
  <c r="Q17" i="3"/>
  <c r="P25" i="3"/>
  <c r="P13" i="5" s="1"/>
  <c r="O15" i="5"/>
  <c r="O17" i="5" s="1"/>
  <c r="O18" i="5"/>
  <c r="N17" i="5"/>
  <c r="T15" i="5"/>
  <c r="M17" i="5"/>
  <c r="T17" i="5" s="1"/>
  <c r="I15" i="10"/>
  <c r="N7" i="5"/>
  <c r="N10" i="5"/>
  <c r="P6" i="3"/>
  <c r="O14" i="3"/>
  <c r="O5" i="5" s="1"/>
  <c r="T5" i="5"/>
  <c r="M7" i="5"/>
  <c r="J16" i="10" s="1"/>
  <c r="K16" i="10" s="1"/>
  <c r="M10" i="5"/>
  <c r="T10" i="5" s="1"/>
  <c r="K12" i="10"/>
  <c r="Q28" i="3" l="1"/>
  <c r="P36" i="3"/>
  <c r="P21" i="5" s="1"/>
  <c r="O23" i="5"/>
  <c r="O25" i="5" s="1"/>
  <c r="O26" i="5"/>
  <c r="N25" i="5"/>
  <c r="T23" i="5"/>
  <c r="M25" i="5"/>
  <c r="T25" i="5" s="1"/>
  <c r="H15" i="10"/>
  <c r="R17" i="3"/>
  <c r="Q25" i="3"/>
  <c r="Q13" i="5" s="1"/>
  <c r="P15" i="5"/>
  <c r="P18" i="5"/>
  <c r="N9" i="5"/>
  <c r="P14" i="3"/>
  <c r="P5" i="5" s="1"/>
  <c r="Q6" i="3"/>
  <c r="O7" i="5"/>
  <c r="O10" i="5"/>
  <c r="T7" i="5"/>
  <c r="M9" i="5"/>
  <c r="T9" i="5" s="1"/>
  <c r="J15" i="10"/>
  <c r="K15" i="10" s="1"/>
  <c r="R28" i="3" l="1"/>
  <c r="Q36" i="3"/>
  <c r="Q21" i="5" s="1"/>
  <c r="P23" i="5"/>
  <c r="P26" i="5"/>
  <c r="U17" i="3"/>
  <c r="V17" i="3"/>
  <c r="R25" i="3"/>
  <c r="Q15" i="5"/>
  <c r="Q18" i="5"/>
  <c r="P17" i="5"/>
  <c r="P7" i="5"/>
  <c r="P10" i="5"/>
  <c r="R6" i="3"/>
  <c r="Q14" i="3"/>
  <c r="Q5" i="5" s="1"/>
  <c r="O9" i="5"/>
  <c r="U28" i="3" l="1"/>
  <c r="V28" i="3"/>
  <c r="R36" i="3"/>
  <c r="Q23" i="5"/>
  <c r="Q26" i="5"/>
  <c r="P25" i="5"/>
  <c r="U25" i="3"/>
  <c r="V25" i="3"/>
  <c r="R13" i="5"/>
  <c r="N8" i="10"/>
  <c r="N11" i="10"/>
  <c r="N12" i="10"/>
  <c r="N28" i="10"/>
  <c r="A5" i="11"/>
  <c r="D11" i="11"/>
  <c r="U6" i="3"/>
  <c r="V6" i="3"/>
  <c r="R14" i="3"/>
  <c r="Q7" i="5"/>
  <c r="Q9" i="5" s="1"/>
  <c r="Q10" i="5"/>
  <c r="Q17" i="5"/>
  <c r="P9" i="5"/>
  <c r="U36" i="3" l="1"/>
  <c r="V36" i="3"/>
  <c r="M8" i="10"/>
  <c r="M11" i="10"/>
  <c r="M12" i="10"/>
  <c r="N27" i="10"/>
  <c r="E11" i="11"/>
  <c r="R21" i="5"/>
  <c r="U13" i="5"/>
  <c r="R15" i="5"/>
  <c r="R18" i="5"/>
  <c r="N16" i="10"/>
  <c r="U14" i="3"/>
  <c r="V14" i="3"/>
  <c r="R5" i="5"/>
  <c r="O8" i="10"/>
  <c r="O11" i="10"/>
  <c r="O12" i="10"/>
  <c r="N29" i="10"/>
  <c r="C11" i="11"/>
  <c r="Q25" i="5"/>
  <c r="U21" i="5" l="1"/>
  <c r="R23" i="5"/>
  <c r="R26" i="5"/>
  <c r="M16" i="10"/>
  <c r="U15" i="5"/>
  <c r="R17" i="5"/>
  <c r="U17" i="5" s="1"/>
  <c r="N15" i="10"/>
  <c r="U18" i="5"/>
  <c r="D13" i="11"/>
  <c r="U5" i="5"/>
  <c r="R7" i="5"/>
  <c r="O16" i="10" s="1"/>
  <c r="P16" i="10" s="1"/>
  <c r="R10" i="5"/>
  <c r="P8" i="10"/>
  <c r="P11" i="10"/>
  <c r="P12" i="10"/>
  <c r="U23" i="5" l="1"/>
  <c r="R25" i="5"/>
  <c r="U25" i="5" s="1"/>
  <c r="M15" i="10"/>
  <c r="U26" i="5"/>
  <c r="E13" i="11"/>
  <c r="U7" i="5"/>
  <c r="R9" i="5"/>
  <c r="U9" i="5" s="1"/>
  <c r="O15" i="10"/>
  <c r="U10" i="5"/>
  <c r="G5" i="11"/>
  <c r="C13" i="11"/>
  <c r="P15" i="10" l="1"/>
</calcChain>
</file>

<file path=xl/sharedStrings.xml><?xml version="1.0" encoding="utf-8"?>
<sst xmlns="http://schemas.openxmlformats.org/spreadsheetml/2006/main" count="1019" uniqueCount="571">
  <si>
    <t>ARGENTINA MINING SECTOR │ Generic CRM Demand Forecasting &amp; Strategy Model</t>
  </si>
  <si>
    <t>Parameterizable for any Critical Raw Material  ·  Methodology adapted from EU Copper Sector Analysis (2026)</t>
  </si>
  <si>
    <t xml:space="preserve">  MODEL OVERVIEW</t>
  </si>
  <si>
    <t>Purpose</t>
  </si>
  <si>
    <t>Forecast global demand and market opportunities for Critical Raw Materials (CRMs) and design an optimal supply strategy for Argentina's mining sector.</t>
  </si>
  <si>
    <t>Methodology</t>
  </si>
  <si>
    <t>3-scenario demand forecast (HIGH / REALISTIC / LOW) × supply potential assessment under CONSERVATIVE / BASE / MAXIMUM assumptions. Adapted from the EU Copper Sector Analysis (2026) framework.</t>
  </si>
  <si>
    <t>CRM Coverage</t>
  </si>
  <si>
    <t>Generic model: change the CRM name and base parameters in the PARAMETERS sheet to apply the model to Copper, Lithium, Nickel, Cobalt, Rare Earths or any other CRM. Default values are pre-populated for Copper.</t>
  </si>
  <si>
    <t>Argentina Context</t>
  </si>
  <si>
    <t>Argentina holds world-class reserves across all major CRMs — copper (San Juan, Catamarca, Salta), lithium (Lithium Triangle), nickel/cobalt (Neuquén) — and is positioning as a key supplier for global energy transition demand.</t>
  </si>
  <si>
    <t xml:space="preserve">  NAVIGATION  —  Click a sheet name to go directly</t>
  </si>
  <si>
    <t>PARAMETERS</t>
  </si>
  <si>
    <t>All model inputs: CRM parameters, scenario assumptions, Argentina project pipeline</t>
  </si>
  <si>
    <t>DEMAND_FORECAST</t>
  </si>
  <si>
    <t>Global CRM demand projection 2025–2040 under HIGH / REALISTIC / LOW scenarios</t>
  </si>
  <si>
    <t>ARGENTINA_SUPPLY</t>
  </si>
  <si>
    <t>Argentina's supply potential 2025–2040 under CONSERVATIVE / BASE / MAXIMUM scenarios</t>
  </si>
  <si>
    <t>MARKET_GAP</t>
  </si>
  <si>
    <t>Global supply-demand gap and Argentina's addressable market opportunity</t>
  </si>
  <si>
    <t>AR_OPPORTUNITY</t>
  </si>
  <si>
    <t>Revenue, CAPEX and economic impact analysis for Argentina</t>
  </si>
  <si>
    <t>COUNTRY_SCORING</t>
  </si>
  <si>
    <t>Project and country attractiveness scoring: Argentina vs. key competitors</t>
  </si>
  <si>
    <t>PATHWAYS</t>
  </si>
  <si>
    <t>Three strategic pathways for Argentina's mining sector development</t>
  </si>
  <si>
    <t>RECOMMENDATIONS</t>
  </si>
  <si>
    <t>Actionable guidelines for optimal strategy implementation</t>
  </si>
  <si>
    <t>DASHBOARD</t>
  </si>
  <si>
    <t>Executive summary: key charts and KPIs</t>
  </si>
  <si>
    <t>CONFIDENTIAL  ·  This model is based on publicly available data supplemented by the proprietary EU Copper Sector Analysis (2026). Blue cells = hardcoded inputs (user may modify). Black cells = formulas (do not overwrite). Green cells = cross-sheet references.</t>
  </si>
  <si>
    <t>PARAMETERS  —  All Model Inputs  (Blue cells = inputs you may change)</t>
  </si>
  <si>
    <t xml:space="preserve">  A.  MODEL PARAMETERS</t>
  </si>
  <si>
    <t>CRM Name</t>
  </si>
  <si>
    <t>Copper</t>
  </si>
  <si>
    <t>Name of the Critical Raw Material (e.g. Copper, Lithium, Nickel, Cobalt)</t>
  </si>
  <si>
    <t>Base Year</t>
  </si>
  <si>
    <t>First year of analysis (historical baseline)</t>
  </si>
  <si>
    <t>Forecast End Year</t>
  </si>
  <si>
    <t>Last year of the forecast horizon</t>
  </si>
  <si>
    <t>Unit of Demand</t>
  </si>
  <si>
    <t>kt Cu-eq</t>
  </si>
  <si>
    <t>Unit used throughout the model (e.g. kt Cu-eq, kt LCE)</t>
  </si>
  <si>
    <t>Reference Region</t>
  </si>
  <si>
    <t>Global</t>
  </si>
  <si>
    <t>Geography of demand analysis (Global / Regional)</t>
  </si>
  <si>
    <t>Producer / Exporter</t>
  </si>
  <si>
    <t>Argentina's role in the CRM value chain</t>
  </si>
  <si>
    <t xml:space="preserve">  B.  GLOBAL BASELINE DEMAND  (2025, kt)  —  'Focus' and 'Non-Focus' applications</t>
  </si>
  <si>
    <t xml:space="preserve">     Application</t>
  </si>
  <si>
    <t>2025 Demand
(kt)</t>
  </si>
  <si>
    <t>% of Total</t>
  </si>
  <si>
    <t>Focus?</t>
  </si>
  <si>
    <t>Primary Driver</t>
  </si>
  <si>
    <t>Power Grid &amp; Transmission</t>
  </si>
  <si>
    <t>Yes</t>
  </si>
  <si>
    <t>Decarbonisation / Grid expansion</t>
  </si>
  <si>
    <t>Electric Vehicles (EVs)</t>
  </si>
  <si>
    <t>Decarbonisation / EV adoption</t>
  </si>
  <si>
    <t>Renewable Energy (Solar &amp; Wind)</t>
  </si>
  <si>
    <t>Decarbonisation / RES expansion</t>
  </si>
  <si>
    <t>Data Centers &amp; Digitalization</t>
  </si>
  <si>
    <t>Digitalization</t>
  </si>
  <si>
    <t>Defense &amp; Aerospace</t>
  </si>
  <si>
    <t>Defense spend re-armament</t>
  </si>
  <si>
    <t>Buildings &amp; Construction</t>
  </si>
  <si>
    <t>No</t>
  </si>
  <si>
    <t>GDP / Urbanization</t>
  </si>
  <si>
    <t>Industrial Equipment &amp; Machinery</t>
  </si>
  <si>
    <t>GDP / Manufacturing</t>
  </si>
  <si>
    <t>Appliances, Electronics &amp; Other</t>
  </si>
  <si>
    <t>GDP / Consumer demand</t>
  </si>
  <si>
    <t>TOTAL</t>
  </si>
  <si>
    <t>Global consumption benchmark: ~26,000 kt for Copper (2025 ICSG)</t>
  </si>
  <si>
    <t xml:space="preserve">  C.  DEMAND SCENARIO ASSUMPTIONS  —  CAGR by Application (2025–2040)</t>
  </si>
  <si>
    <t>HIGH Scenario
CAGR</t>
  </si>
  <si>
    <t>REALISTIC Scenario
CAGR</t>
  </si>
  <si>
    <t>LOW Scenario
CAGR</t>
  </si>
  <si>
    <t>Notes / Rationale</t>
  </si>
  <si>
    <t>High: rapid net-zero grid build-out; Low: slow policy implementation</t>
  </si>
  <si>
    <t>High: 90% EV share by 2040; Realistic: 80%; Low: 55%</t>
  </si>
  <si>
    <t>Driven by installed capacity additions (GW)</t>
  </si>
  <si>
    <t>AI &amp; cloud infrastructure expansion globally</t>
  </si>
  <si>
    <t>Global re-armament wave; Realistic: 3% GDP NATO+ by 2030</t>
  </si>
  <si>
    <t>GDP-correlated; partially offset by material efficiency gains</t>
  </si>
  <si>
    <t>Manufacturing re-shoring supports mid scenario</t>
  </si>
  <si>
    <t>Steady but moderate; partial substitution risk</t>
  </si>
  <si>
    <t>Source: Adapted from EU Copper Sector Analysis (2026); IEA WEO 2025; ICSG</t>
  </si>
  <si>
    <t xml:space="preserve">  D.  ARGENTINA MINING PROJECT PIPELINE  (Copper default — replace for other CRMs)</t>
  </si>
  <si>
    <t>Project / Mine</t>
  </si>
  <si>
    <t>Province</t>
  </si>
  <si>
    <t>Type</t>
  </si>
  <si>
    <t>Status</t>
  </si>
  <si>
    <t>Annual Capacity
(kt)</t>
  </si>
  <si>
    <t>Mine Life
(years)</t>
  </si>
  <si>
    <t>Ore Grade
(%)</t>
  </si>
  <si>
    <t>Start of
Production</t>
  </si>
  <si>
    <t>CONSERVATIVE
Scenario?</t>
  </si>
  <si>
    <t>BASE
Scenario?</t>
  </si>
  <si>
    <t>MAX
Scenario?</t>
  </si>
  <si>
    <t>Bajo de la Alumbrera*</t>
  </si>
  <si>
    <t>Catamarca</t>
  </si>
  <si>
    <t>Operating/Wind-down</t>
  </si>
  <si>
    <t>Operating</t>
  </si>
  <si>
    <t>Y</t>
  </si>
  <si>
    <t>MARA (Agua Rica)</t>
  </si>
  <si>
    <t>Greenfield</t>
  </si>
  <si>
    <t>Development</t>
  </si>
  <si>
    <t>N</t>
  </si>
  <si>
    <t>Josemaría</t>
  </si>
  <si>
    <t>San Juan</t>
  </si>
  <si>
    <t>El Pachón</t>
  </si>
  <si>
    <t>Los Azules</t>
  </si>
  <si>
    <t>Taca Taca</t>
  </si>
  <si>
    <t>Salta</t>
  </si>
  <si>
    <t>Exploration</t>
  </si>
  <si>
    <t>Altar</t>
  </si>
  <si>
    <t>San Jorge</t>
  </si>
  <si>
    <t>Mendoza</t>
  </si>
  <si>
    <t>Brownfield</t>
  </si>
  <si>
    <t>Permitting</t>
  </si>
  <si>
    <t>*Alumbrera entering tail-end of mine life; capacity declines to ~0 by 2030 (modelled in ARGENTINA_SUPPLY sheet).</t>
  </si>
  <si>
    <t xml:space="preserve">  E.  LONG-TERM PRICE ASSUMPTIONS  (Real 2025 USD / tonne)</t>
  </si>
  <si>
    <t>Scenario</t>
  </si>
  <si>
    <t>2025
Price</t>
  </si>
  <si>
    <t>2030
Price</t>
  </si>
  <si>
    <t>2035
Price</t>
  </si>
  <si>
    <t>2040
Price</t>
  </si>
  <si>
    <t>Notes</t>
  </si>
  <si>
    <t>HIGH (Bull)</t>
  </si>
  <si>
    <t>Supply deficit, accelerated energy transition</t>
  </si>
  <si>
    <t>REALISTIC (Base)</t>
  </si>
  <si>
    <t>Balanced market; slight structural deficit</t>
  </si>
  <si>
    <t>LOW (Bear)</t>
  </si>
  <si>
    <t>Demand disappointment / new supply surge</t>
  </si>
  <si>
    <t xml:space="preserve">  F.  ARGENTINA CAPEX &amp; OPEX BENCHMARKS</t>
  </si>
  <si>
    <t>Parameter</t>
  </si>
  <si>
    <t>Value</t>
  </si>
  <si>
    <t>Notes / Source</t>
  </si>
  <si>
    <t>Greenfield CAPEX per tonne annual output (USD)</t>
  </si>
  <si>
    <t>Industry benchmark; range USD 15,000–25,000/t</t>
  </si>
  <si>
    <t>Brownfield CAPEX per tonne annual output (USD)</t>
  </si>
  <si>
    <t>Lower cost; typically 30–50% of greenfield</t>
  </si>
  <si>
    <t>All-in Sustaining Cost (AISC) — low quartile (USD/t)</t>
  </si>
  <si>
    <t>Best-in-class Argentine operations</t>
  </si>
  <si>
    <t>All-in Sustaining Cost (AISC) — median (USD/t)</t>
  </si>
  <si>
    <t>Mid-cost Chilean/Argentine producers</t>
  </si>
  <si>
    <t>All-in Sustaining Cost (AISC) — high quartile (USD/t)</t>
  </si>
  <si>
    <t>Higher-cost, lower-grade deposits</t>
  </si>
  <si>
    <t>Royalty rate — Federal (% of wellhead value)</t>
  </si>
  <si>
    <t>Argentine federal mining law</t>
  </si>
  <si>
    <t>Royalty rate — Provincial avg. (% of wellhead value)</t>
  </si>
  <si>
    <t>Varies by province (2–5%)</t>
  </si>
  <si>
    <t>Corporate income tax rate</t>
  </si>
  <si>
    <t>Argentina standard CIT</t>
  </si>
  <si>
    <t>DEMAND FORECAST  —  Global CRM Demand 2025–2040 by Scenario  (kt)</t>
  </si>
  <si>
    <t>Application / Scenario</t>
  </si>
  <si>
    <t>App #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</si>
  <si>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</si>
  <si>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</si>
  <si>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</si>
  <si>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</si>
  <si>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</si>
  <si>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</si>
  <si>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</si>
  <si>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</si>
  <si>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</si>
  <si>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</si>
  <si>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</si>
  <si>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</si>
  <si>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</si>
  <si>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</si>
  <si>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</si>
  <si>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</si>
  <si>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CAGR
25-30</t>
  </si>
  <si>
    <t>CAGR
31-35</t>
  </si>
  <si>
    <t>CAGR
36-40</t>
  </si>
  <si>
    <t>2040 vs
2025</t>
  </si>
  <si>
    <t>Source: PARAMETERS!B, row-by-row CAGR applied per scenario.  Applications 1–5 = 'Focus'; 6–8 = 'Non-Focus'.</t>
  </si>
  <si>
    <t xml:space="preserve">  HIGH SCENARIO</t>
  </si>
  <si>
    <t>TOTAL — HIGH SCENARIO</t>
  </si>
  <si>
    <t xml:space="preserve">  REALISTIC SCENARIO</t>
  </si>
  <si>
    <t>TOTAL — REALISTIC SCENARIO</t>
  </si>
  <si>
    <t xml:space="preserve">  LOW SCENARIO</t>
  </si>
  <si>
    <t>TOTAL — LOW SCENARIO</t>
  </si>
  <si>
    <t>ARGENTINA SUPPLY POTENTIAL  —  Mining Output 2025–2040 (kt)</t>
  </si>
  <si>
    <t>Mine / Project</t>
  </si>
  <si>
    <t>Total
2025-30
(kt)</t>
  </si>
  <si>
    <t>Total
2031-35
(kt)</t>
  </si>
  <si>
    <t>Total
2036-40
(kt)</t>
  </si>
  <si>
    <t>Peak
Output
(kt)</t>
  </si>
  <si>
    <t>Annual production modelled as: ramp-up in first 2 years (50%→75%→100%), 1% annual depletion on operating mines, zero after end of mine life.</t>
  </si>
  <si>
    <t xml:space="preserve">  CONSERVATIVE SCENARIO</t>
  </si>
  <si>
    <t>TOTAL ARGENTINA — CONSERVATIVE SCENARIO</t>
  </si>
  <si>
    <t xml:space="preserve">  BASE SCENARIO</t>
  </si>
  <si>
    <t>TOTAL ARGENTINA — BASE SCENARIO</t>
  </si>
  <si>
    <t xml:space="preserve">  MAXIMUM SCENARIO</t>
  </si>
  <si>
    <t>TOTAL ARGENTINA — MAXIMUM SCENARIO</t>
  </si>
  <si>
    <t>* Alumbrera mine life nearing end; output ramps down. CONSERVATIVE = currently operating/development-ready only. BASE = adds near-term approved projects. MAXIMUM = full identified pipeline.</t>
  </si>
  <si>
    <t>MARKET GAP ANALYSIS  —  Global Supply-Demand Balance &amp; Argentina's Addressable Opportunity (kt)</t>
  </si>
  <si>
    <t>Rows reference DEMAND_FORECAST totals (rows 14, 24, 34) and ARGENTINA_SUPPLY totals. Global supply estimate: 2025 global mine supply ~22,000 kt + primary smelter output ~26,500 kt (net refined). Note: 'Gap' = incremental demand above 2025; Argentina 'Opportunity' = Gap × assumed market share.</t>
  </si>
  <si>
    <t>Line Item / Scenario</t>
  </si>
  <si>
    <t>Units</t>
  </si>
  <si>
    <t>Cum.
2025-30
(kt)</t>
  </si>
  <si>
    <t>Cum.
2031-35
(kt)</t>
  </si>
  <si>
    <t>Cum.
2036-40
(kt)</t>
  </si>
  <si>
    <t xml:space="preserve">  HIGH DEMAND / MAXIMUM SUPPLY</t>
  </si>
  <si>
    <t>Global CRM Demand</t>
  </si>
  <si>
    <t>kt</t>
  </si>
  <si>
    <t xml:space="preserve">  Global CRM Supply*</t>
  </si>
  <si>
    <t xml:space="preserve">  DEMAND-SUPPLY GAP</t>
  </si>
  <si>
    <t xml:space="preserve">  Argentina Supply</t>
  </si>
  <si>
    <t xml:space="preserve">  Remaining Gap after AR</t>
  </si>
  <si>
    <t xml:space="preserve">  Argentina Market Share</t>
  </si>
  <si>
    <t>%</t>
  </si>
  <si>
    <t xml:space="preserve">  REALISTIC DEMAND / BASE SUPPLY</t>
  </si>
  <si>
    <t xml:space="preserve">  LOW DEMAND / CONSERVATIVE SUPPLY</t>
  </si>
  <si>
    <t>* Global supply modelled as 2025 baseline × (1+CAGR)^n. CAGR assumptions: HIGH=2.0%, REALISTIC=1.4%, LOW=0.7% p.a. Positive Gap = demand exceeds supply (structural deficit); Argentina Market Share = Argentina production / Global demand.</t>
  </si>
  <si>
    <t>ARGENTINA MARKET OPPORTUNITY  —  Revenue, CAPEX &amp; Economic Impact  (USD millions)</t>
  </si>
  <si>
    <t>Revenue = Argentina production (kt) × LT price (USD/t, from PARAMETERS) × 1,000. CAPEX from PARAMETERS benchmarks applied to new capacity additions. Green cells reference ARGENTINA_SUPPLY and PARAMETERS sheets.</t>
  </si>
  <si>
    <t>Line Item</t>
  </si>
  <si>
    <t>5Y Total
2025-30
($M)</t>
  </si>
  <si>
    <t>5Y Total
2031-35
($M)</t>
  </si>
  <si>
    <t>5Y Total
2036-40
($M)</t>
  </si>
  <si>
    <t>15Y Total
2025-40
($M)</t>
  </si>
  <si>
    <t xml:space="preserve">  ANNUAL REVENUE ESTIMATES  (USD millions)</t>
  </si>
  <si>
    <t>Revenue (Conservative / Low Price)</t>
  </si>
  <si>
    <t>Revenue (Base / Realistic Price)</t>
  </si>
  <si>
    <t>Revenue (Maximum / High Price)</t>
  </si>
  <si>
    <t xml:space="preserve">  CAPEX REQUIREMENTS  (USD millions)</t>
  </si>
  <si>
    <t>Project CAPEX Phasing (Base Scenario)</t>
  </si>
  <si>
    <t>Spend phased over 4 years before start of production.</t>
  </si>
  <si>
    <t>Project</t>
  </si>
  <si>
    <t>Total
CAPEX
($M)</t>
  </si>
  <si>
    <t>TOTAL CAPEX (Base — all projects)</t>
  </si>
  <si>
    <t xml:space="preserve">  ECONOMIC IMPACT SUMMARY  (Base Scenario Estimates)</t>
  </si>
  <si>
    <t>Direct employment (jobs per kt annual production)</t>
  </si>
  <si>
    <t>Benchmark: 200–300 jobs/kt capacity (ICSG)</t>
  </si>
  <si>
    <t>Indirect employment multiplier</t>
  </si>
  <si>
    <t>Standard mining sector multiplier</t>
  </si>
  <si>
    <t>Export revenue share in Argentine GDP (%)</t>
  </si>
  <si>
    <t>See formula</t>
  </si>
  <si>
    <t>Calculated from revenue / Argentine GDP (~$700B)</t>
  </si>
  <si>
    <t>Royalty income to provinces ($ million/year by 2040)</t>
  </si>
  <si>
    <t>Formula: Revenue × provincial royalty rate (PARAMETERS!B58)</t>
  </si>
  <si>
    <t>Federal tax revenue ($ million/year by 2040)</t>
  </si>
  <si>
    <t>Formula: EBITDA margin ~45% × CIT rate (PARAMETERS!B62)</t>
  </si>
  <si>
    <t>COUNTRY &amp; PROJECT ATTRACTIVENESS SCORING  —  Argentina vs. Key Competitors  (Scale 1–4)</t>
  </si>
  <si>
    <t>Adapted from EU Copper Sector Analysis (2026) methodology: Total Score = 60% × Business Score + 40% × Country Score.  Scale: 1=Poor, 2=Below Average, 3=Above Average, 4=Excellent.</t>
  </si>
  <si>
    <t xml:space="preserve">  A.  BUSINESS SCORE CRITERIA  (Weight = 60% of Total)</t>
  </si>
  <si>
    <t>Criterion</t>
  </si>
  <si>
    <t>Weight</t>
  </si>
  <si>
    <t>Argentina</t>
  </si>
  <si>
    <t>Chile</t>
  </si>
  <si>
    <t>Peru</t>
  </si>
  <si>
    <t>DRC</t>
  </si>
  <si>
    <t>Canada</t>
  </si>
  <si>
    <t>Australia</t>
  </si>
  <si>
    <t>Zambia</t>
  </si>
  <si>
    <t>Indonesia</t>
  </si>
  <si>
    <t>Mine capacity (&gt;200 kt = 4)</t>
  </si>
  <si>
    <t>Life of mine (&gt;30 yrs = 4)</t>
  </si>
  <si>
    <t>Ore grade (&gt;1.0% = 4)</t>
  </si>
  <si>
    <t>Mine type (OP preferred = 4)</t>
  </si>
  <si>
    <t>Export logistics (port distance)</t>
  </si>
  <si>
    <t>Access to water</t>
  </si>
  <si>
    <t>Access to power / energy cost</t>
  </si>
  <si>
    <t>Available labour skills</t>
  </si>
  <si>
    <t>Exploitation permit availability</t>
  </si>
  <si>
    <t>Environmental permitting</t>
  </si>
  <si>
    <t>Relation with local communities</t>
  </si>
  <si>
    <t>WEIGHTED BUSINESS SCORE</t>
  </si>
  <si>
    <t xml:space="preserve">  B.  COUNTRY SCORE CRITERIA  (Weight = 40% of Total)</t>
  </si>
  <si>
    <t>Political stability (Global Peace Index + GINI + CPI)</t>
  </si>
  <si>
    <t>Mining licence regime &amp; duration</t>
  </si>
  <si>
    <t>State participation &amp; fiscal regime</t>
  </si>
  <si>
    <t>Environmental &amp; social framework</t>
  </si>
  <si>
    <t>Trade freedom &amp; currency convertibility</t>
  </si>
  <si>
    <t>Dispute resolution &amp; investment protection</t>
  </si>
  <si>
    <t>WEIGHTED COUNTRY SCORE</t>
  </si>
  <si>
    <t>COMPOSITE SCORE (60% Business + 40% Country)</t>
  </si>
  <si>
    <t>RANKING (1 = Most Attractive)</t>
  </si>
  <si>
    <t>ARGENTINA IMPROVEMENT LEVERS: Key areas where policy reforms can improve scores: (1) Mining licence certainty &amp; reduction of administrative discretion → +0.5 Country Score; (2) Currency convertibility &amp; profit repatriation guarantees → +0.5; (3) Environmental permitting streamlining → +0.3; (4) Local community frameworks (benefit-sharing mechanisms) → +0.3. Combined effect: Argentina Composite Score could improve from ~2.7 to ~3.1, narrowing the gap with Chile (3.3) significantly.</t>
  </si>
  <si>
    <t>STRATEGIC PATHWAYS  —  Three Courses of Action for Argentina's Mining Sector  (2025–2040)</t>
  </si>
  <si>
    <t>Metric / Line Item</t>
  </si>
  <si>
    <t xml:space="preserve">  PATHWAY 1 — STATUS QUO (No new investment beyond committed projects)</t>
  </si>
  <si>
    <t>Conservative supply, Realistic demand. Relies on existing and committed operations only. No new project development, no value-added processing investment.</t>
  </si>
  <si>
    <t>Production scenario</t>
  </si>
  <si>
    <t>Conservative</t>
  </si>
  <si>
    <t>Domestic value capture</t>
  </si>
  <si>
    <t>~20% of LME price</t>
  </si>
  <si>
    <t>Value chain position</t>
  </si>
  <si>
    <t>Mining only (concentrate exports)</t>
  </si>
  <si>
    <t>Estimated 15Y revenue ($B)</t>
  </si>
  <si>
    <t>~45–55</t>
  </si>
  <si>
    <t>New smelting investment</t>
  </si>
  <si>
    <t>None</t>
  </si>
  <si>
    <t>CAPEX required ($B)</t>
  </si>
  <si>
    <t>~8–10 (mining only)</t>
  </si>
  <si>
    <t>New refining investment</t>
  </si>
  <si>
    <t>Employment created</t>
  </si>
  <si>
    <t>~15,000 direct</t>
  </si>
  <si>
    <t>Export product form</t>
  </si>
  <si>
    <t>Copper concentrates (Cu ~30%)</t>
  </si>
  <si>
    <t>Strategic dependency risk</t>
  </si>
  <si>
    <t>High (price taker, single commodity)</t>
  </si>
  <si>
    <t xml:space="preserve">     Annual Production and Revenue Profile</t>
  </si>
  <si>
    <t xml:space="preserve">  Argentina Production (kt)</t>
  </si>
  <si>
    <t xml:space="preserve">  LME Price Assumption ($/t)</t>
  </si>
  <si>
    <t xml:space="preserve">  Annual Revenue ($M)</t>
  </si>
  <si>
    <t xml:space="preserve">  Annual CAPEX ($M)</t>
  </si>
  <si>
    <t xml:space="preserve">  Net Cash Flow ($M)</t>
  </si>
  <si>
    <t xml:space="preserve">  PATHWAY 2 — MODERATE EXPANSION (Base supply + targeted smelting/refining investment)</t>
  </si>
  <si>
    <t>Base supply scenario with selective investment in processing capacity (one domestic refinery). Retains raw concentrate exports but captures more value through partial beneficiation.</t>
  </si>
  <si>
    <t>Base</t>
  </si>
  <si>
    <t>~40% of LME price</t>
  </si>
  <si>
    <t>Mining + partial smelting</t>
  </si>
  <si>
    <t>~85–110</t>
  </si>
  <si>
    <t>1 × 300 kt/yr primary smelter</t>
  </si>
  <si>
    <t>~18–22 (mining + smelter)</t>
  </si>
  <si>
    <t>~30,000 direct</t>
  </si>
  <si>
    <t>Mixed: concentrates + blister copper</t>
  </si>
  <si>
    <t>Medium (some product diversification)</t>
  </si>
  <si>
    <t xml:space="preserve">  PATHWAY 3 — MAXIMUM DEVELOPMENT + IN-COUNTRY BENEFICIATION (Recommended)</t>
  </si>
  <si>
    <t>Maximum supply + full value chain investment (concentrate → cathode). Positions Argentina as a premium, fully integrated CRM supplier with maximum revenue capture. Requires ~$35–50B total investment 2025–2040. Highest risk, highest reward.</t>
  </si>
  <si>
    <t>Maximum</t>
  </si>
  <si>
    <t>~85–90% of LME price</t>
  </si>
  <si>
    <t>Mining + smelting + refining (cathodes)</t>
  </si>
  <si>
    <t>~150–190</t>
  </si>
  <si>
    <t>2 × 300 kt/yr primary smelters</t>
  </si>
  <si>
    <t>~35–50 (full value chain)</t>
  </si>
  <si>
    <t>1 × 400 kt/yr electrolytic refinery</t>
  </si>
  <si>
    <t>~65,000 direct</t>
  </si>
  <si>
    <t>Copper cathodes (99.99% Cu)</t>
  </si>
  <si>
    <t>Low (premium product, global buyers)</t>
  </si>
  <si>
    <t xml:space="preserve">  PATHWAY COMPARISON MATRIX  (Summary)</t>
  </si>
  <si>
    <t>Metric</t>
  </si>
  <si>
    <t>Pathway 1
(Status Quo)</t>
  </si>
  <si>
    <t>Pathway 2
(Moderate)</t>
  </si>
  <si>
    <t>Pathway 3
(Maximum)</t>
  </si>
  <si>
    <t>Peak annual production (kt)</t>
  </si>
  <si>
    <t>~70</t>
  </si>
  <si>
    <t>~480</t>
  </si>
  <si>
    <t>~1,090</t>
  </si>
  <si>
    <t>15-year cumulative revenue ($B)</t>
  </si>
  <si>
    <t>~50</t>
  </si>
  <si>
    <t>~100</t>
  </si>
  <si>
    <t>~170</t>
  </si>
  <si>
    <t>Total CAPEX required ($B)</t>
  </si>
  <si>
    <t>~10</t>
  </si>
  <si>
    <t>~22</t>
  </si>
  <si>
    <t>Revenue / CAPEX ratio</t>
  </si>
  <si>
    <t>5.0x</t>
  </si>
  <si>
    <t>4.5x</t>
  </si>
  <si>
    <t>3.4x</t>
  </si>
  <si>
    <t>Employment created (000s)</t>
  </si>
  <si>
    <t>~15</t>
  </si>
  <si>
    <t>~30</t>
  </si>
  <si>
    <t>~65</t>
  </si>
  <si>
    <t>Export product quality</t>
  </si>
  <si>
    <t>Concentrates</t>
  </si>
  <si>
    <t>Blister/Anode</t>
  </si>
  <si>
    <t>Cathodes (LME)</t>
  </si>
  <si>
    <t>HIGH</t>
  </si>
  <si>
    <t>MEDIUM</t>
  </si>
  <si>
    <t>LOW</t>
  </si>
  <si>
    <t>Probability of success</t>
  </si>
  <si>
    <t>High</t>
  </si>
  <si>
    <t>Medium-High</t>
  </si>
  <si>
    <t>Medium</t>
  </si>
  <si>
    <t>Recommended?</t>
  </si>
  <si>
    <t>Base case only</t>
  </si>
  <si>
    <t>Yes — interim step</t>
  </si>
  <si>
    <t>YES — optimal strategy</t>
  </si>
  <si>
    <t>RECOMMENDATION: Pathway 3 (Maximum Development + In-Country Beneficiation) is the optimal long-term strategy. It requires sequential implementation: Phase 1 (2025–2029) = accelerate permitting and greenfield development; Phase 2 (2028–2033) = invest in primary smelting capacity; Phase 3 (2032–2038) = electrolytic refinery to produce LME-grade cathodes. Each phase generates cash flows that can co-finance the next.</t>
  </si>
  <si>
    <t>STRATEGIC RECOMMENDATIONS  —  Actionable Guidelines for Argentina's Mining Sector (CRM)</t>
  </si>
  <si>
    <t>Based on Pathway 3 analysis and Country Scoring framework. 4 priority guidelines adapted from EU Copper Sector Analysis (2026) methodology, reframed for Argentina as a producing nation.</t>
  </si>
  <si>
    <t xml:space="preserve">  GUIDELINE 1 — ACCELERATE PERMITTING &amp; REGULATORY CERTAINTY</t>
  </si>
  <si>
    <t>Objective</t>
  </si>
  <si>
    <t>Reduce the average time from exploration to production permit from the current 10–15 years to &lt;7 years.</t>
  </si>
  <si>
    <t>Key Actions</t>
  </si>
  <si>
    <t>1. Implement a 'one-stop shop' for environmental &amp; mining permits at federal level.
2. Adopt fixed-timeframe permit review processes (12 months maximum for EIA review).
3. Create investor protection agreements (stability agreements) for projects &gt;$1B.
4. Establish independent Technical Mining Committee to reduce discretionary decisions.
5. Harmonise provincial and federal regulatory frameworks.</t>
  </si>
  <si>
    <t>Expected Impact</t>
  </si>
  <si>
    <t>+0.5–0.8 points on Country Score → improves Argentina's attractiveness ranking vs. Chile/Peru.</t>
  </si>
  <si>
    <t>Timeline</t>
  </si>
  <si>
    <t>Phase 1: Legislative changes by 2027; Phase 2: Full implementation by 2029.</t>
  </si>
  <si>
    <t>Lead Institutions</t>
  </si>
  <si>
    <t>Ministerio de Minería, SEGEMAR, Secretaría de Ambiente, Congreso Nacional.</t>
  </si>
  <si>
    <t>Priority Level</t>
  </si>
  <si>
    <t>CRITICAL — Blocking constraint for Pathways 2 &amp; 3</t>
  </si>
  <si>
    <t xml:space="preserve">  GUIDELINE 2 — SECURE MACROECONOMIC &amp; FISCAL STABILITY FOR MINING</t>
  </si>
  <si>
    <t>Guarantee fiscal and currency regime stability to unlock $35–50B in private sector investment.</t>
  </si>
  <si>
    <t>1. Adopt a Mining Investment Code with 30-year fiscal stability guarantees.
2. Ensure full currency convertibility and profit repatriation rights for mining.
3. Cap royalties at 3% wellhead value (federal + provincial combined max 5%).
4. Exclude mining revenues from capital controls (CEPO).
5. Develop USD-denominated infrastructure financing facilities (ANSES, BICE).</t>
  </si>
  <si>
    <t>+0.5 points on Currency/Trade sub-score; unlocks ~$25B in greenfield investment.</t>
  </si>
  <si>
    <t>Immediate (2025–2026) — prerequisite for all major project FIDs.</t>
  </si>
  <si>
    <t>Ministerio de Economía, BCRA, Ministerio de Minería, IFC/MIGA partnerships.</t>
  </si>
  <si>
    <t>CRITICAL — FID prerequisite for MARA, Josemaría, El Pachón, Los Azules</t>
  </si>
  <si>
    <t xml:space="preserve">  GUIDELINE 3 — INVEST IN VALUE CHAIN DEVELOPMENT (SMELTING → REFINING)</t>
  </si>
  <si>
    <t>Capture $30–50B in additional revenue over 2030–2040 by processing concentrates into cathodes domestically.</t>
  </si>
  <si>
    <t>1. Establish a National CRM Processing Fund with $2B seed capital (public-private).
2. Develop 2 × primary copper smelting hubs (San Juan + Catamarca corridors).
3. Invest in one 400 kt/yr electrolytic refinery by 2034 to produce LME-grade cathodes.
4. Negotiate long-term offtake agreements with EU, Japanese, South Korean buyers.
5. Explore lithium-copper co-location benefits in Puna region (shared infrastructure).</t>
  </si>
  <si>
    <t>Revenue per tonne increases from ~$3,000 (concentrate) to ~$9,200 (cathode). 15-year incremental revenue vs. Pathway 1: ~$80–120B.</t>
  </si>
  <si>
    <t>Phase 1 (2027–2030): First smelter FID. Phase 2 (2031–2034): Refinery FID.</t>
  </si>
  <si>
    <t>Ministerio de Minería, YPF (co-investor), Techint/Tenaris, international strategic partners.</t>
  </si>
  <si>
    <t>HIGH — Differentiator between Pathway 2 and Pathway 3 outcomes</t>
  </si>
  <si>
    <t xml:space="preserve">  GUIDELINE 4 — BUILD STRATEGIC PARTNERSHIPS &amp; SECURE GLOBAL MARKET ACCESS</t>
  </si>
  <si>
    <t>Position Argentina as a 'partner of choice' for global CRM supply chains, especially EU and Indo-Pacific.</t>
  </si>
  <si>
    <t>1. Negotiate Critical Minerals Agreements (CMAs) with EU (CRMA), USA, Japan, South Korea.
2. Join and actively lead the Minerals Security Partnership (MSP).
3. Develop a 'CRM Brand Argentina' certification for sustainably produced materials.
4. Establish bi-lateral investment protection treaties (BITs) with key buyer nations.
5. Create an Argentina CRM Logistics Corridor: mine-to-port infrastructure investments.</t>
  </si>
  <si>
    <t>Premium pricing (+5–10% over standard LME) for certified, traceable supply. Diversified buyer base reduces price volatility exposure.</t>
  </si>
  <si>
    <t>2025–2027: Complete CMA negotiations. 2026–2030: Logistics corridor investment.</t>
  </si>
  <si>
    <t>Cancillería Argentina, Ministerio de Minería, Argentine Mining Chamber (CAEM).</t>
  </si>
  <si>
    <t>HIGH — Revenue multiplier and risk de-concentration</t>
  </si>
  <si>
    <t xml:space="preserve">  IMPLEMENTATION ROADMAP SUMMARY</t>
  </si>
  <si>
    <t>Phase 1: UNLOCK  (2025–2028)</t>
  </si>
  <si>
    <t>Permitting reform, fiscal stability guarantees, attract FDI for greenfield development. Target: MARA + Josemaría FIDs signed by 2027.</t>
  </si>
  <si>
    <t>Phase 2: BUILD  (2028–2033)</t>
  </si>
  <si>
    <t>Accelerate production ramp-up across pipeline. Invest in first primary smelting hub. Target: &gt;500 kt/yr production by 2033; first cathode export by 2031.</t>
  </si>
  <si>
    <t>Phase 3: LEAD  (2033–2040)</t>
  </si>
  <si>
    <t>Commission electrolytic refinery. Full value chain operational. Target: &gt;1,000 kt/yr production; Argentina in top-3 global copper exporters by 2038.</t>
  </si>
  <si>
    <t>VALIDATION  —  Argentina Cu Opportunity as Global Supplier (Concentrates &amp; Cathodes)  |  Snapshots: 2030 · 2035 · 2040</t>
  </si>
  <si>
    <t>All values reference live formulas in DEMAND_FORECAST, ARGENTINA_SUPPLY and MARKET_GAP sheets.  Blue = hardcoded assumptions.  Black = formulas.  Green = cross-sheet links.  Concentrates payability = 72% of LME (conservative; currently ~75% given near-zero TC/RC).  Cathode payability = 98% of LME.</t>
  </si>
  <si>
    <t>LINE ITEM</t>
  </si>
  <si>
    <t>── 2030 ──</t>
  </si>
  <si>
    <t>── 2035 ──</t>
  </si>
  <si>
    <t>── 2040 ──</t>
  </si>
  <si>
    <t>LOW
Scenario</t>
  </si>
  <si>
    <t>REALISTIC
(Base Case)</t>
  </si>
  <si>
    <t>HIGH
Scenario</t>
  </si>
  <si>
    <t>Δ Hi−Lo
(Range)</t>
  </si>
  <si>
    <t xml:space="preserve">  1.  GLOBAL Cu DEMAND  (kt refined Cu equivalent)</t>
  </si>
  <si>
    <t xml:space="preserve">     Global Demand Projection (kt)  |  Sources: Model DEMAND_FORECAST + application-level CAGRs</t>
  </si>
  <si>
    <t>Total Global Demand</t>
  </si>
  <si>
    <t xml:space="preserve">  of which: Focus Applications (EV, Grid, RE, Datactr, Defence)</t>
  </si>
  <si>
    <t>est.</t>
  </si>
  <si>
    <t>~35% of total by 2030 (energy transition trend)</t>
  </si>
  <si>
    <t>~40% of total by 2035 (energy transition trend)</t>
  </si>
  <si>
    <t>~45% of total by 2040 (energy transition trend)</t>
  </si>
  <si>
    <t xml:space="preserve">  of which: Non-Focus Applications</t>
  </si>
  <si>
    <t>YoY Growth vs. 2025</t>
  </si>
  <si>
    <t>Implied CAGR from 2025</t>
  </si>
  <si>
    <t>% CAGR</t>
  </si>
  <si>
    <t xml:space="preserve">     Global Supply Estimate &amp; Supply-Demand Gap  |  Source: Model MARKET_GAP</t>
  </si>
  <si>
    <t>Global Mine Supply (kt)</t>
  </si>
  <si>
    <t>Supply-Demand GAP (kt) — + = Deficit</t>
  </si>
  <si>
    <t>Gap as % of Global Demand</t>
  </si>
  <si>
    <t xml:space="preserve">  2.  ARGENTINA Cu SUPPLY POTENTIAL  (kt mine output)</t>
  </si>
  <si>
    <t xml:space="preserve">     Production Scenarios  |  CONSERVATIVE = Alumbrera only; BASE = committed projects; MAXIMUM = full pipeline</t>
  </si>
  <si>
    <t>Argentina Production — CONSERVATIVE</t>
  </si>
  <si>
    <t>-</t>
  </si>
  <si>
    <t>Argentina Production — BASE</t>
  </si>
  <si>
    <t>Argentina Production — MAXIMUM</t>
  </si>
  <si>
    <t>Benchmark: Chile (current ~5,500 kt, +1.2% p.a.)</t>
  </si>
  <si>
    <t>Benchmark: Peru (current ~2,700 kt, +0.8% p.a.)</t>
  </si>
  <si>
    <t>Benchmark: DRC (current ~3,100 kt, +2.5% p.a.)</t>
  </si>
  <si>
    <t xml:space="preserve">     Argentina Market Share (% of Global Demand)</t>
  </si>
  <si>
    <t>Ar. Share — CONSERVATIVE / LOW Demand</t>
  </si>
  <si>
    <t>Ar. Share — BASE / REALISTIC Demand</t>
  </si>
  <si>
    <t>Ar. Share — MAXIMUM / HIGH Demand</t>
  </si>
  <si>
    <t>Benchmark: Chile's current market share (~21%)</t>
  </si>
  <si>
    <t>Benchmark: Peru's current market share (~10%)</t>
  </si>
  <si>
    <t xml:space="preserve">  3.  PRODUCT FORM ANALYSIS  —  Concentrates vs. Cathodes  (BASE production scenario)</t>
  </si>
  <si>
    <t>Product form assumptions: Concentrates = ~72% of LME (payability after TC/RC deductions; currently ~75% given near-zero spot TC). Blister/Anode = ~83% of LME.  LME-grade Cathode = ~98% of LME.  No domestic smelting/refining capacity exists today in Argentina.</t>
  </si>
  <si>
    <t xml:space="preserve">     Pathway 1 — Status Quo (Conservative supply)</t>
  </si>
  <si>
    <t>% as Concentrates</t>
  </si>
  <si>
    <t>% as Blister/Anode</t>
  </si>
  <si>
    <t>% as Cathodes (LME)</t>
  </si>
  <si>
    <t>Effective payability</t>
  </si>
  <si>
    <t>Gross Revenue ($M)</t>
  </si>
  <si>
    <t>$M</t>
  </si>
  <si>
    <t xml:space="preserve">  — Revenue from Concentrates ($M)</t>
  </si>
  <si>
    <t xml:space="preserve">  — Revenue from Blister/Anode ($M)</t>
  </si>
  <si>
    <t xml:space="preserve">  — Revenue from Cathodes ($M)</t>
  </si>
  <si>
    <t>Revenue uplift vs 100% Concentrates ($M)</t>
  </si>
  <si>
    <t xml:space="preserve">     Pathway 2 — Moderate Expansion (Base supply + first smelter)</t>
  </si>
  <si>
    <t xml:space="preserve">     Pathway 3 — Maximum Dev. + In-Country Beneficiation (Maximum supply)</t>
  </si>
  <si>
    <t xml:space="preserve">  4.  REVENUE SUMMARY TABLE  —  All Scenarios &amp; Product Forms  ($M / year)</t>
  </si>
  <si>
    <t>Scenario / Product Form</t>
  </si>
  <si>
    <t>Revenue
2030 ($M)</t>
  </si>
  <si>
    <t>Revenue
2035 ($M)</t>
  </si>
  <si>
    <t>Revenue
2040 ($M)</t>
  </si>
  <si>
    <t>15Y Cum.
Revenue
($B est.)</t>
  </si>
  <si>
    <t>CONSERVATIVE supply — Concentrates only</t>
  </si>
  <si>
    <t>BASE supply — Concentrates only (Pathway 1)</t>
  </si>
  <si>
    <t>BASE supply — Concentrates + Blister (Pathway 2)</t>
  </si>
  <si>
    <t>BASE supply — Concentrates + Cathodes (Pathway 3)</t>
  </si>
  <si>
    <t>MAXIMUM supply — Concentrates only</t>
  </si>
  <si>
    <t>MAXIMUM supply — Full value chain (Pathway 3)</t>
  </si>
  <si>
    <t xml:space="preserve">  5.  VALIDATION BENCHMARKS &amp; KEY TAKEAWAYS</t>
  </si>
  <si>
    <t>ICSG World Mine Production 2025 (baseline)</t>
  </si>
  <si>
    <t>~26,000 kt</t>
  </si>
  <si>
    <t>Aligns with model 2025 base demand (PARAMETERS)</t>
  </si>
  <si>
    <t>Argentina share of world production (today)</t>
  </si>
  <si>
    <t>~0.3%</t>
  </si>
  <si>
    <t>Baseline: ~70 kt / 26,000 kt (Alumbrera + minor ops)</t>
  </si>
  <si>
    <t>Model: Arg. share under BASE/REALISTIC scenario</t>
  </si>
  <si>
    <t>~0.7%</t>
  </si>
  <si>
    <t>~1.0%</t>
  </si>
  <si>
    <t>~0.9%</t>
  </si>
  <si>
    <t>BASE production / REALISTIC demand from model</t>
  </si>
  <si>
    <t>Model: Arg. share under MAXIMUM/HIGH scenario</t>
  </si>
  <si>
    <t>~2.6%</t>
  </si>
  <si>
    <t>~2.2%</t>
  </si>
  <si>
    <t>MAXIMUM production / HIGH demand from model</t>
  </si>
  <si>
    <t>Chile today: ~5,500 kt = ~21% world market share</t>
  </si>
  <si>
    <t>21%</t>
  </si>
  <si>
    <t>~22%</t>
  </si>
  <si>
    <t>Chile = benchmark; Argentina MAXIMUM could reach Chile's current share by 2040</t>
  </si>
  <si>
    <t>Revenue per tonne — Concentrates (72% LME payable)</t>
  </si>
  <si>
    <t>$7,056</t>
  </si>
  <si>
    <t>$7,344</t>
  </si>
  <si>
    <t>$7,560</t>
  </si>
  <si>
    <t>Low value-add; price taker; subject to TC/RC compression</t>
  </si>
  <si>
    <t>Revenue per tonne — LME Cathode (98% LME payable)</t>
  </si>
  <si>
    <t>$9,604</t>
  </si>
  <si>
    <t>$9,996</t>
  </si>
  <si>
    <t>$10,290</t>
  </si>
  <si>
    <t>Full LME access; premium buyers; +$2,000-2,500/t vs concentrates</t>
  </si>
  <si>
    <t>Value uplift: Concentrates → Cathodes ($/t)</t>
  </si>
  <si>
    <t>$2,548</t>
  </si>
  <si>
    <t>$2,652</t>
  </si>
  <si>
    <t>$2,730</t>
  </si>
  <si>
    <t>For BASE 350 kt scenario: +$900M/yr additional revenue by 2040</t>
  </si>
  <si>
    <t>Model coherence check vs EU Copper Study (2026)</t>
  </si>
  <si>
    <t>OK</t>
  </si>
  <si>
    <t>EU REALISTIC demand growth ~1.5% p.a. — consistent with model REALISTIC CAGR</t>
  </si>
  <si>
    <t>KEY VALIDATION CONCLUSION:  Under the REALISTIC demand / BASE supply scenario, Argentina can grow from ~0.3% to ~0.9–1.0% of world Cu supply by 2035–2040 — a 3× increase in market share — producing ~350 kt/yr (primarily as concentrates) worth ~$2.5–2.8B/yr.  Under the MAXIMUM scenario, Argentina could reach ~2.2% of global supply by 2040 (~1,090 kt/yr), potentially surpassing Peru, worth ~$7.9–8.1B/yr as concentrates (or ~$11.2B/yr if fully converted to LME-grade cathodes).  The value difference between concentrates and cathodes is $2,500–2,700/tonne — for 1,090 kt/yr that represents $2.7–2.9B/yr of additional revenue at stake in the processing investment decision.  This validates the model's recommendation of Pathway 3.</t>
  </si>
  <si>
    <t>EXECUTIVE DASHBOARD  —  Argentina CRM Strategy: Key Metrics &amp; Scenario Overview</t>
  </si>
  <si>
    <t>All values reference live formulas from model sheets. Change inputs in PARAMETERS to update this dashboard automatically.</t>
  </si>
  <si>
    <t xml:space="preserve">  KEY PERFORMANCE INDICATORS  (Pathway 3 — Maximum Development)</t>
  </si>
  <si>
    <t>Global Demand
2040 (Realistic)</t>
  </si>
  <si>
    <t>Argentina Prod.
2040 (Maximum)</t>
  </si>
  <si>
    <t>Arg. Market Share
2040 (Max/Rl)</t>
  </si>
  <si>
    <t>15Y Cumulative
Revenue ($B)</t>
  </si>
  <si>
    <t>Country Score
Argentina</t>
  </si>
  <si>
    <t>Required CAPEX
(Pathway 3, $M)</t>
  </si>
  <si>
    <t>$B</t>
  </si>
  <si>
    <t>/4.0</t>
  </si>
  <si>
    <t xml:space="preserve">  SCENARIO COMPARISON  (2040 outcomes)</t>
  </si>
  <si>
    <t>HIGH Demand
MAXIMUM Supply</t>
  </si>
  <si>
    <t>REALISTIC Demand
BASE Supply</t>
  </si>
  <si>
    <t>LOW Demand
CONSERVATIVE Supply</t>
  </si>
  <si>
    <t>Global Demand 2040</t>
  </si>
  <si>
    <t>Argentina Production 2040</t>
  </si>
  <si>
    <t>Argentina Market Share 2040</t>
  </si>
  <si>
    <t>Annual Revenue 2040 ($M)</t>
  </si>
  <si>
    <t>Country Score (Composite)</t>
  </si>
  <si>
    <t>/4</t>
  </si>
  <si>
    <t xml:space="preserve">  ARGENTINA SWOT — Key Factors</t>
  </si>
  <si>
    <t>STRENGTHS</t>
  </si>
  <si>
    <t>WEAKNESSES</t>
  </si>
  <si>
    <t>OPPORTUNITIES</t>
  </si>
  <si>
    <t>THREATS</t>
  </si>
  <si>
    <t>• World-class copper reserves (San Juan, Catamarca, Salta)</t>
  </si>
  <si>
    <t>• Long permitting timelines (10–15 years)</t>
  </si>
  <si>
    <t>• EU Critical Raw Materials Act — Argentina as priority partner</t>
  </si>
  <si>
    <t>• Political cycle risk — regulatory reversal</t>
  </si>
  <si>
    <t>• Part of Lithium Triangle — also applicable to this CRM model</t>
  </si>
  <si>
    <t>• Macroeconomic instability &amp; historical capital controls</t>
  </si>
  <si>
    <t>• Minerals Security Partnership (MSP) membership</t>
  </si>
  <si>
    <t>• Chinese competition for raw material offtake</t>
  </si>
  <si>
    <t>• Competitive AISC (low quartile: ~$4,500/t)</t>
  </si>
  <si>
    <t>• No domestic smelting/refining capacity (currently)</t>
  </si>
  <si>
    <t>• Energy transition driving structural demand deficit</t>
  </si>
  <si>
    <t>• Water scarcity in Andean high-altitude deposits</t>
  </si>
  <si>
    <t>• Proven geology; large open-pit deposits (lower cost)</t>
  </si>
  <si>
    <t>• Limited port/rail infrastructure in key mining provinces</t>
  </si>
  <si>
    <t>• Domestic energy cost advantage (Vaca Muerta gas)</t>
  </si>
  <si>
    <t>• Social license challenges (glaciers law, community opposition)</t>
  </si>
  <si>
    <t>• Strong engineering talent pool (CONICET, UTN)</t>
  </si>
  <si>
    <t>• Below-average Country Score vs. Chile/Australia</t>
  </si>
  <si>
    <t>• MARA, Josemaría, El Pachón — near-term FIDs possible</t>
  </si>
  <si>
    <t>• TC/RC compression — concentrate market tightening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</si>
</sst>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0.0%;\(0.0%\);&quot;-&quot;"/>
    <numFmt numFmtId="166" formatCode="&quot;$&quot;#,##0;\(&quot;$&quot;#,##0\);&quot;-&quot;"/>
    <numFmt numFmtId="167" formatCode="0.0&quot;x&quot;"/>
    <numFmt numFmtId="168" formatCode="#,##0.0;\(#,##0.0\);&quot;-&quot;"/>
    <numFmt numFmtId="169" formatCode="&quot;$&quot;#,##0.0;\(&quot;$&quot;#,##0.0\);&quot;-&quot;"/>
  </numFmts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i/>
      <sz val="8"/>
      <color rgb="FF595959"/>
      <name val="Arial"/>
      <family val="2"/>
    </font>
    <font>
      <b/>
      <sz val="13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9"/>
      <color rgb="FF0000FF"/>
      <name val="Arial"/>
      <family val="2"/>
    </font>
    <font>
      <sz val="9"/>
      <color rgb="FFFFFFFF"/>
      <name val="Arial"/>
      <family val="2"/>
    </font>
    <font>
      <sz val="8"/>
      <color rgb="FF595959"/>
      <name val="Arial"/>
      <family val="2"/>
    </font>
    <font>
      <i/>
      <sz val="9"/>
      <color rgb="FF595959"/>
      <name val="Arial"/>
      <family val="2"/>
    </font>
    <font>
      <sz val="9"/>
      <color rgb="FF595959"/>
      <name val="Arial"/>
      <family val="2"/>
    </font>
    <font>
      <sz val="9"/>
      <color rgb="FF008000"/>
      <name val="Arial"/>
      <family val="2"/>
    </font>
    <font>
      <b/>
      <sz val="11"/>
      <color rgb="FFFFFFFF"/>
      <name val="Arial"/>
      <family val="2"/>
    </font>
    <font>
      <i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595959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1F5C2E"/>
      </patternFill>
    </fill>
    <fill>
      <patternFill patternType="solid">
        <fgColor rgb="FFE36C0A"/>
      </patternFill>
    </fill>
    <fill>
      <patternFill patternType="solid">
        <fgColor rgb="FFC00000"/>
      </patternFill>
    </fill>
    <fill>
      <patternFill patternType="solid">
        <fgColor rgb="FFC09000"/>
      </patternFill>
    </fill>
    <fill>
      <patternFill patternType="solid">
        <fgColor rgb="FF2D8A45"/>
      </patternFill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0F9F4"/>
      </patternFill>
    </fill>
    <fill>
      <patternFill patternType="solid">
        <fgColor rgb="FFE2EFDA"/>
      </patternFill>
    </fill>
    <fill>
      <patternFill patternType="solid">
        <fgColor rgb="FFFFDEDE"/>
      </patternFill>
    </fill>
    <fill>
      <patternFill patternType="solid">
        <fgColor rgb="FFFCE4D6"/>
      </patternFill>
    </fill>
    <fill>
      <patternFill patternType="solid">
        <fgColor rgb="FFFFF3CC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5" fillId="5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49" fontId="9" fillId="12" borderId="0" xfId="0" applyNumberFormat="1" applyFont="1" applyFill="1" applyAlignment="1">
      <alignment horizontal="right" vertical="center"/>
    </xf>
    <xf numFmtId="0" fontId="6" fillId="12" borderId="0" xfId="0" applyFont="1" applyFill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164" fontId="9" fillId="12" borderId="0" xfId="0" applyNumberFormat="1" applyFont="1" applyFill="1" applyAlignment="1">
      <alignment horizontal="right" vertical="center"/>
    </xf>
    <xf numFmtId="165" fontId="5" fillId="12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164" fontId="5" fillId="13" borderId="0" xfId="0" applyNumberFormat="1" applyFont="1" applyFill="1" applyAlignment="1">
      <alignment horizontal="right" vertical="center"/>
    </xf>
    <xf numFmtId="165" fontId="5" fillId="13" borderId="0" xfId="0" applyNumberFormat="1" applyFont="1" applyFill="1" applyAlignment="1">
      <alignment horizontal="right" vertical="center"/>
    </xf>
    <xf numFmtId="0" fontId="4" fillId="13" borderId="0" xfId="0" applyFont="1" applyFill="1" applyAlignment="1">
      <alignment horizontal="left" vertical="center"/>
    </xf>
    <xf numFmtId="0" fontId="8" fillId="16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165" fontId="9" fillId="12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left" vertical="center"/>
    </xf>
    <xf numFmtId="166" fontId="9" fillId="12" borderId="0" xfId="0" applyNumberFormat="1" applyFont="1" applyFill="1" applyAlignment="1">
      <alignment horizontal="right" vertical="center"/>
    </xf>
    <xf numFmtId="0" fontId="8" fillId="13" borderId="0" xfId="0" applyFont="1" applyFill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center" vertical="center"/>
    </xf>
    <xf numFmtId="164" fontId="5" fillId="16" borderId="0" xfId="0" applyNumberFormat="1" applyFont="1" applyFill="1" applyAlignment="1">
      <alignment horizontal="right" vertical="center"/>
    </xf>
    <xf numFmtId="165" fontId="5" fillId="16" borderId="0" xfId="0" applyNumberFormat="1" applyFont="1" applyFill="1" applyAlignment="1">
      <alignment horizontal="right" vertical="center"/>
    </xf>
    <xf numFmtId="167" fontId="5" fillId="16" borderId="0" xfId="0" applyNumberFormat="1" applyFont="1" applyFill="1" applyAlignment="1">
      <alignment horizontal="right" vertical="center"/>
    </xf>
    <xf numFmtId="0" fontId="5" fillId="12" borderId="0" xfId="0" applyFont="1" applyFill="1" applyAlignment="1">
      <alignment horizontal="center" vertical="center"/>
    </xf>
    <xf numFmtId="164" fontId="5" fillId="12" borderId="0" xfId="0" applyNumberFormat="1" applyFont="1" applyFill="1" applyAlignment="1">
      <alignment horizontal="right" vertical="center"/>
    </xf>
    <xf numFmtId="167" fontId="5" fillId="12" borderId="0" xfId="0" applyNumberFormat="1" applyFont="1" applyFill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164" fontId="12" fillId="8" borderId="0" xfId="0" applyNumberFormat="1" applyFont="1" applyFill="1" applyAlignment="1">
      <alignment horizontal="right" vertical="center"/>
    </xf>
    <xf numFmtId="165" fontId="12" fillId="8" borderId="0" xfId="0" applyNumberFormat="1" applyFont="1" applyFill="1" applyAlignment="1">
      <alignment horizontal="right" vertical="center"/>
    </xf>
    <xf numFmtId="167" fontId="12" fillId="8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left" vertical="center"/>
    </xf>
    <xf numFmtId="167" fontId="5" fillId="13" borderId="0" xfId="0" applyNumberFormat="1" applyFont="1" applyFill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167" fontId="12" fillId="3" borderId="0" xfId="0" applyNumberFormat="1" applyFont="1" applyFill="1" applyAlignment="1">
      <alignment horizontal="right" vertical="center"/>
    </xf>
    <xf numFmtId="0" fontId="5" fillId="15" borderId="0" xfId="0" applyFont="1" applyFill="1" applyAlignment="1">
      <alignment horizontal="left" vertical="center"/>
    </xf>
    <xf numFmtId="164" fontId="5" fillId="15" borderId="0" xfId="0" applyNumberFormat="1" applyFont="1" applyFill="1" applyAlignment="1">
      <alignment horizontal="right" vertical="center"/>
    </xf>
    <xf numFmtId="165" fontId="5" fillId="15" borderId="0" xfId="0" applyNumberFormat="1" applyFont="1" applyFill="1" applyAlignment="1">
      <alignment horizontal="right" vertical="center"/>
    </xf>
    <xf numFmtId="167" fontId="5" fillId="15" borderId="0" xfId="0" applyNumberFormat="1" applyFont="1" applyFill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164" fontId="12" fillId="6" borderId="0" xfId="0" applyNumberFormat="1" applyFont="1" applyFill="1" applyAlignment="1">
      <alignment horizontal="right" vertical="center"/>
    </xf>
    <xf numFmtId="165" fontId="12" fillId="6" borderId="0" xfId="0" applyNumberFormat="1" applyFont="1" applyFill="1" applyAlignment="1">
      <alignment horizontal="right" vertical="center"/>
    </xf>
    <xf numFmtId="167" fontId="12" fillId="6" borderId="0" xfId="0" applyNumberFormat="1" applyFont="1" applyFill="1" applyAlignment="1">
      <alignment horizontal="right" vertical="center"/>
    </xf>
    <xf numFmtId="164" fontId="13" fillId="15" borderId="0" xfId="0" applyNumberFormat="1" applyFont="1" applyFill="1" applyAlignment="1">
      <alignment horizontal="right" vertical="center"/>
    </xf>
    <xf numFmtId="0" fontId="14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center" vertical="center"/>
    </xf>
    <xf numFmtId="164" fontId="15" fillId="5" borderId="0" xfId="0" applyNumberFormat="1" applyFont="1" applyFill="1" applyAlignment="1">
      <alignment horizontal="right" vertical="center"/>
    </xf>
    <xf numFmtId="164" fontId="13" fillId="13" borderId="0" xfId="0" applyNumberFormat="1" applyFont="1" applyFill="1" applyAlignment="1">
      <alignment horizontal="right" vertical="center"/>
    </xf>
    <xf numFmtId="164" fontId="13" fillId="12" borderId="0" xfId="0" applyNumberFormat="1" applyFont="1" applyFill="1" applyAlignment="1">
      <alignment horizontal="right" vertical="center"/>
    </xf>
    <xf numFmtId="164" fontId="13" fillId="16" borderId="0" xfId="0" applyNumberFormat="1" applyFont="1" applyFill="1" applyAlignment="1">
      <alignment horizontal="right" vertical="center"/>
    </xf>
    <xf numFmtId="0" fontId="13" fillId="16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left" vertical="center"/>
    </xf>
    <xf numFmtId="164" fontId="16" fillId="15" borderId="0" xfId="0" applyNumberFormat="1" applyFont="1" applyFill="1" applyAlignment="1">
      <alignment horizontal="right" vertical="center"/>
    </xf>
    <xf numFmtId="164" fontId="16" fillId="13" borderId="0" xfId="0" applyNumberFormat="1" applyFont="1" applyFill="1" applyAlignment="1">
      <alignment horizontal="right" vertical="center"/>
    </xf>
    <xf numFmtId="0" fontId="4" fillId="16" borderId="0" xfId="0" applyFont="1" applyFill="1" applyAlignment="1">
      <alignment horizontal="left" vertical="center"/>
    </xf>
    <xf numFmtId="164" fontId="16" fillId="16" borderId="0" xfId="0" applyNumberFormat="1" applyFont="1" applyFill="1" applyAlignment="1">
      <alignment horizontal="right" vertical="center"/>
    </xf>
    <xf numFmtId="0" fontId="5" fillId="17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center" vertical="center"/>
    </xf>
    <xf numFmtId="164" fontId="5" fillId="17" borderId="0" xfId="0" applyNumberFormat="1" applyFont="1" applyFill="1" applyAlignment="1">
      <alignment horizontal="right" vertical="center"/>
    </xf>
    <xf numFmtId="164" fontId="13" fillId="17" borderId="0" xfId="0" applyNumberFormat="1" applyFont="1" applyFill="1" applyAlignment="1">
      <alignment horizontal="right" vertical="center"/>
    </xf>
    <xf numFmtId="0" fontId="5" fillId="18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center" vertical="center"/>
    </xf>
    <xf numFmtId="164" fontId="13" fillId="18" borderId="0" xfId="0" applyNumberFormat="1" applyFont="1" applyFill="1" applyAlignment="1">
      <alignment horizontal="right" vertical="center"/>
    </xf>
    <xf numFmtId="164" fontId="5" fillId="18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right" vertical="center"/>
    </xf>
    <xf numFmtId="0" fontId="0" fillId="2" borderId="0" xfId="0" applyFill="1"/>
    <xf numFmtId="168" fontId="9" fillId="12" borderId="0" xfId="0" applyNumberFormat="1" applyFont="1" applyFill="1" applyAlignment="1">
      <alignment horizontal="right" vertical="center"/>
    </xf>
    <xf numFmtId="0" fontId="6" fillId="19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8" fontId="12" fillId="3" borderId="0" xfId="0" applyNumberFormat="1" applyFont="1" applyFill="1" applyAlignment="1">
      <alignment horizontal="right" vertical="center"/>
    </xf>
    <xf numFmtId="0" fontId="0" fillId="3" borderId="0" xfId="0" applyFill="1"/>
    <xf numFmtId="0" fontId="3" fillId="10" borderId="2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168" fontId="12" fillId="10" borderId="0" xfId="0" applyNumberFormat="1" applyFont="1" applyFill="1" applyAlignment="1">
      <alignment horizontal="right" vertical="center"/>
    </xf>
    <xf numFmtId="0" fontId="0" fillId="10" borderId="0" xfId="0" applyFill="1"/>
    <xf numFmtId="0" fontId="17" fillId="2" borderId="2" xfId="0" applyFont="1" applyFill="1" applyBorder="1" applyAlignment="1">
      <alignment horizontal="left" vertical="center"/>
    </xf>
    <xf numFmtId="168" fontId="12" fillId="2" borderId="0" xfId="0" applyNumberFormat="1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164" fontId="12" fillId="9" borderId="0" xfId="0" applyNumberFormat="1" applyFont="1" applyFill="1" applyAlignment="1">
      <alignment horizontal="right" vertical="center"/>
    </xf>
    <xf numFmtId="0" fontId="0" fillId="9" borderId="0" xfId="0" applyFill="1"/>
    <xf numFmtId="0" fontId="8" fillId="14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164" fontId="11" fillId="12" borderId="0" xfId="0" applyNumberFormat="1" applyFont="1" applyFill="1" applyAlignment="1">
      <alignment horizontal="right" vertical="center"/>
    </xf>
    <xf numFmtId="164" fontId="16" fillId="12" borderId="0" xfId="0" applyNumberFormat="1" applyFont="1" applyFill="1" applyAlignment="1">
      <alignment horizontal="right" vertical="center"/>
    </xf>
    <xf numFmtId="0" fontId="19" fillId="15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left" vertical="top"/>
    </xf>
    <xf numFmtId="0" fontId="8" fillId="15" borderId="0" xfId="0" applyFont="1" applyFill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0" fontId="8" fillId="18" borderId="0" xfId="0" applyFont="1" applyFill="1" applyAlignment="1">
      <alignment horizontal="left" vertical="top"/>
    </xf>
    <xf numFmtId="0" fontId="19" fillId="2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right" vertical="center"/>
    </xf>
    <xf numFmtId="0" fontId="15" fillId="12" borderId="0" xfId="0" applyFont="1" applyFill="1" applyAlignment="1">
      <alignment horizontal="center" vertical="center"/>
    </xf>
    <xf numFmtId="164" fontId="4" fillId="12" borderId="0" xfId="0" applyNumberFormat="1" applyFont="1" applyFill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168" fontId="4" fillId="4" borderId="0" xfId="0" applyNumberFormat="1" applyFont="1" applyFill="1" applyAlignment="1">
      <alignment horizontal="right" vertical="center"/>
    </xf>
    <xf numFmtId="0" fontId="22" fillId="15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164" fontId="16" fillId="14" borderId="0" xfId="0" applyNumberFormat="1" applyFont="1" applyFill="1" applyAlignment="1">
      <alignment horizontal="right" vertical="center"/>
    </xf>
    <xf numFmtId="164" fontId="16" fillId="4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0" fontId="6" fillId="1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165" fontId="16" fillId="14" borderId="0" xfId="0" applyNumberFormat="1" applyFont="1" applyFill="1" applyAlignment="1">
      <alignment horizontal="right" vertical="center"/>
    </xf>
    <xf numFmtId="165" fontId="16" fillId="4" borderId="0" xfId="0" applyNumberFormat="1" applyFont="1" applyFill="1" applyAlignment="1">
      <alignment horizontal="right" vertical="center"/>
    </xf>
    <xf numFmtId="165" fontId="16" fillId="16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0" fontId="13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right" vertical="center"/>
    </xf>
    <xf numFmtId="0" fontId="13" fillId="4" borderId="0" xfId="0" applyFont="1" applyFill="1" applyAlignment="1">
      <alignment horizontal="right" vertical="center"/>
    </xf>
    <xf numFmtId="0" fontId="13" fillId="16" borderId="0" xfId="0" applyFont="1" applyFill="1" applyAlignment="1">
      <alignment horizontal="right" vertical="center"/>
    </xf>
    <xf numFmtId="0" fontId="18" fillId="18" borderId="0" xfId="0" applyFont="1" applyFill="1" applyAlignment="1">
      <alignment horizontal="left" vertical="center"/>
    </xf>
    <xf numFmtId="0" fontId="13" fillId="18" borderId="0" xfId="0" applyFont="1" applyFill="1" applyAlignment="1">
      <alignment horizontal="center" vertical="center"/>
    </xf>
    <xf numFmtId="164" fontId="11" fillId="18" borderId="0" xfId="0" applyNumberFormat="1" applyFont="1" applyFill="1" applyAlignment="1">
      <alignment horizontal="right" vertical="center"/>
    </xf>
    <xf numFmtId="165" fontId="11" fillId="18" borderId="0" xfId="0" applyNumberFormat="1" applyFont="1" applyFill="1" applyAlignment="1">
      <alignment horizontal="right" vertical="center"/>
    </xf>
    <xf numFmtId="0" fontId="0" fillId="4" borderId="0" xfId="0" applyFill="1"/>
    <xf numFmtId="165" fontId="11" fillId="4" borderId="0" xfId="0" applyNumberFormat="1" applyFont="1" applyFill="1" applyAlignment="1">
      <alignment horizontal="right" vertical="center"/>
    </xf>
    <xf numFmtId="0" fontId="0" fillId="12" borderId="0" xfId="0" applyFill="1"/>
    <xf numFmtId="165" fontId="11" fillId="12" borderId="0" xfId="0" applyNumberFormat="1" applyFont="1" applyFill="1" applyAlignment="1">
      <alignment horizontal="right" vertical="center"/>
    </xf>
    <xf numFmtId="164" fontId="16" fillId="18" borderId="0" xfId="0" applyNumberFormat="1" applyFont="1" applyFill="1" applyAlignment="1">
      <alignment horizontal="right" vertical="center"/>
    </xf>
    <xf numFmtId="0" fontId="8" fillId="17" borderId="0" xfId="0" applyFont="1" applyFill="1" applyAlignment="1">
      <alignment horizontal="left" vertical="center"/>
    </xf>
    <xf numFmtId="0" fontId="8" fillId="13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4" fontId="16" fillId="14" borderId="0" xfId="0" applyNumberFormat="1" applyFont="1" applyFill="1" applyAlignment="1">
      <alignment horizontal="right"/>
    </xf>
    <xf numFmtId="169" fontId="5" fillId="5" borderId="0" xfId="0" applyNumberFormat="1" applyFont="1" applyFill="1" applyAlignment="1">
      <alignment horizontal="right"/>
    </xf>
    <xf numFmtId="164" fontId="16" fillId="4" borderId="0" xfId="0" applyNumberFormat="1" applyFont="1" applyFill="1" applyAlignment="1">
      <alignment horizontal="right"/>
    </xf>
    <xf numFmtId="164" fontId="16" fillId="17" borderId="0" xfId="0" applyNumberFormat="1" applyFont="1" applyFill="1" applyAlignment="1">
      <alignment horizontal="right"/>
    </xf>
    <xf numFmtId="169" fontId="8" fillId="5" borderId="0" xfId="0" applyNumberFormat="1" applyFont="1" applyFill="1" applyAlignment="1">
      <alignment horizontal="right"/>
    </xf>
    <xf numFmtId="164" fontId="16" fillId="16" borderId="0" xfId="0" applyNumberFormat="1" applyFont="1" applyFill="1" applyAlignment="1">
      <alignment horizontal="right"/>
    </xf>
    <xf numFmtId="0" fontId="8" fillId="18" borderId="1" xfId="0" applyFont="1" applyFill="1" applyBorder="1" applyAlignment="1">
      <alignment horizontal="left" vertical="center" wrapText="1"/>
    </xf>
    <xf numFmtId="0" fontId="8" fillId="12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3" fillId="1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3" xfId="0" applyBorder="1"/>
    <xf numFmtId="0" fontId="7" fillId="2" borderId="1" xfId="0" applyFont="1" applyFill="1" applyBorder="1" applyAlignment="1">
      <alignment horizontal="center" vertical="center"/>
    </xf>
    <xf numFmtId="0" fontId="0" fillId="0" borderId="4" xfId="0" applyBorder="1"/>
    <xf numFmtId="0" fontId="3" fillId="8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12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left" vertical="center" wrapText="1"/>
    </xf>
    <xf numFmtId="0" fontId="18" fillId="16" borderId="0" xfId="0" applyFont="1" applyFill="1" applyAlignment="1">
      <alignment horizontal="left" vertical="top" wrapText="1"/>
    </xf>
    <xf numFmtId="0" fontId="10" fillId="15" borderId="0" xfId="0" applyFont="1" applyFill="1" applyAlignment="1">
      <alignment horizontal="left" vertical="center"/>
    </xf>
    <xf numFmtId="0" fontId="18" fillId="13" borderId="0" xfId="0" applyFont="1" applyFill="1" applyAlignment="1">
      <alignment horizontal="left" vertical="top" wrapText="1"/>
    </xf>
    <xf numFmtId="0" fontId="18" fillId="15" borderId="0" xfId="0" applyFont="1" applyFill="1" applyAlignment="1">
      <alignment horizontal="left" vertical="top" wrapText="1"/>
    </xf>
    <xf numFmtId="0" fontId="10" fillId="16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14" fillId="0" borderId="0" xfId="0" applyFont="1" applyAlignment="1">
      <alignment horizontal="left" vertical="center" wrapText="1"/>
    </xf>
    <xf numFmtId="0" fontId="5" fillId="16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/>
    </xf>
    <xf numFmtId="0" fontId="5" fillId="15" borderId="0" xfId="0" applyFont="1" applyFill="1" applyAlignment="1">
      <alignment horizontal="left" vertical="top" wrapText="1"/>
    </xf>
    <xf numFmtId="0" fontId="5" fillId="13" borderId="0" xfId="0" applyFont="1" applyFill="1" applyAlignment="1">
      <alignment horizontal="left" vertical="top" wrapText="1"/>
    </xf>
    <xf numFmtId="0" fontId="3" fillId="9" borderId="0" xfId="0" applyFont="1" applyFill="1" applyAlignment="1">
      <alignment horizontal="left" vertical="center"/>
    </xf>
    <xf numFmtId="0" fontId="6" fillId="18" borderId="0" xfId="0" applyFont="1" applyFill="1" applyAlignment="1">
      <alignment horizontal="left" vertical="center"/>
    </xf>
    <xf numFmtId="0" fontId="6" fillId="17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left" vertical="center"/>
    </xf>
    <xf numFmtId="0" fontId="21" fillId="1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top" wrapText="1"/>
    </xf>
    <xf numFmtId="0" fontId="19" fillId="2" borderId="0" xfId="0" applyFont="1" applyFill="1" applyAlignment="1">
      <alignment horizontal="left"/>
    </xf>
    <xf numFmtId="0" fontId="8" fillId="15" borderId="0" xfId="0" applyFont="1" applyFill="1" applyAlignment="1">
      <alignment horizontal="left" vertical="center"/>
    </xf>
    <xf numFmtId="0" fontId="8" fillId="17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/>
    </xf>
    <xf numFmtId="0" fontId="21" fillId="16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164" fontId="20" fillId="4" borderId="0" xfId="0" applyNumberFormat="1" applyFont="1" applyFill="1" applyAlignment="1">
      <alignment horizontal="center" vertical="center"/>
    </xf>
    <xf numFmtId="165" fontId="20" fillId="4" borderId="0" xfId="0" applyNumberFormat="1" applyFont="1" applyFill="1" applyAlignment="1">
      <alignment horizontal="center" vertical="center"/>
    </xf>
    <xf numFmtId="0" fontId="5" fillId="17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center" vertical="center"/>
    </xf>
    <xf numFmtId="169" fontId="20" fillId="4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center" vertical="center"/>
    </xf>
    <xf numFmtId="168" fontId="20" fillId="4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5C"/>
  </sheetPr>
  <dimension ref="A1:P22"/>
  <sheetViews>
    <sheetView showGridLines="0" tabSelected="1" topLeftCell="A2" workbookViewId="0"/>
  </sheetViews>
  <sheetFormatPr baseColWidth="10" defaultColWidth="8.83203125" defaultRowHeight="15" x14ac:dyDescent="0.2"/>
  <cols>
    <col min="1" max="2" width="4" customWidth="1"/>
    <col min="3" max="3" width="22" customWidth="1"/>
    <col min="4" max="4" width="80" customWidth="1"/>
    <col min="5" max="8" width="4" customWidth="1"/>
  </cols>
  <sheetData>
    <row r="1" spans="1:16" ht="8" customHeight="1" x14ac:dyDescent="0.2"/>
    <row r="2" spans="1:16" ht="50" customHeight="1" x14ac:dyDescent="0.2">
      <c r="A2" s="183" t="s">
        <v>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16" ht="22" customHeight="1" x14ac:dyDescent="0.2">
      <c r="A3" s="181" t="s">
        <v>1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</row>
    <row r="5" spans="1:16" ht="16" customHeight="1" x14ac:dyDescent="0.2">
      <c r="A5" s="168" t="s">
        <v>2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</row>
    <row r="6" spans="1:16" ht="45" customHeight="1" x14ac:dyDescent="0.2">
      <c r="A6" s="175" t="s">
        <v>3</v>
      </c>
      <c r="B6" s="169"/>
      <c r="C6" s="169"/>
      <c r="D6" s="171" t="s">
        <v>4</v>
      </c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16" ht="45" customHeight="1" x14ac:dyDescent="0.2">
      <c r="A7" s="175" t="s">
        <v>5</v>
      </c>
      <c r="B7" s="169"/>
      <c r="C7" s="169"/>
      <c r="D7" s="171" t="s">
        <v>6</v>
      </c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</row>
    <row r="8" spans="1:16" ht="45" customHeight="1" x14ac:dyDescent="0.2">
      <c r="A8" s="175" t="s">
        <v>7</v>
      </c>
      <c r="B8" s="169"/>
      <c r="C8" s="169"/>
      <c r="D8" s="171" t="s">
        <v>8</v>
      </c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</row>
    <row r="9" spans="1:16" ht="45" customHeight="1" x14ac:dyDescent="0.2">
      <c r="A9" s="175" t="s">
        <v>9</v>
      </c>
      <c r="B9" s="169"/>
      <c r="C9" s="169"/>
      <c r="D9" s="171" t="s">
        <v>10</v>
      </c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</row>
    <row r="10" spans="1:16" ht="8" customHeight="1" x14ac:dyDescent="0.2"/>
    <row r="11" spans="1:16" x14ac:dyDescent="0.2">
      <c r="A11" s="168" t="s">
        <v>11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</row>
    <row r="12" spans="1:16" ht="18" customHeight="1" x14ac:dyDescent="0.2">
      <c r="A12" s="174" t="s">
        <v>12</v>
      </c>
      <c r="B12" s="169"/>
      <c r="C12" s="169"/>
      <c r="D12" s="170" t="s">
        <v>13</v>
      </c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</row>
    <row r="13" spans="1:16" ht="18" customHeight="1" x14ac:dyDescent="0.2">
      <c r="A13" s="178" t="s">
        <v>14</v>
      </c>
      <c r="B13" s="169"/>
      <c r="C13" s="169"/>
      <c r="D13" s="170" t="s">
        <v>15</v>
      </c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</row>
    <row r="14" spans="1:16" ht="18" customHeight="1" x14ac:dyDescent="0.2">
      <c r="A14" s="176" t="s">
        <v>16</v>
      </c>
      <c r="B14" s="169"/>
      <c r="C14" s="169"/>
      <c r="D14" s="170" t="s">
        <v>17</v>
      </c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</row>
    <row r="15" spans="1:16" ht="18" customHeight="1" x14ac:dyDescent="0.2">
      <c r="A15" s="180" t="s">
        <v>18</v>
      </c>
      <c r="B15" s="169"/>
      <c r="C15" s="169"/>
      <c r="D15" s="170" t="s">
        <v>19</v>
      </c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</row>
    <row r="16" spans="1:16" ht="18" customHeight="1" x14ac:dyDescent="0.2">
      <c r="A16" s="182" t="s">
        <v>20</v>
      </c>
      <c r="B16" s="169"/>
      <c r="C16" s="169"/>
      <c r="D16" s="170" t="s">
        <v>21</v>
      </c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</row>
    <row r="17" spans="1:16" ht="18" customHeight="1" x14ac:dyDescent="0.2">
      <c r="A17" s="177" t="s">
        <v>22</v>
      </c>
      <c r="B17" s="169"/>
      <c r="C17" s="169"/>
      <c r="D17" s="170" t="s">
        <v>23</v>
      </c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</row>
    <row r="18" spans="1:16" ht="18" customHeight="1" x14ac:dyDescent="0.2">
      <c r="A18" s="172" t="s">
        <v>24</v>
      </c>
      <c r="B18" s="169"/>
      <c r="C18" s="169"/>
      <c r="D18" s="170" t="s">
        <v>25</v>
      </c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</row>
    <row r="19" spans="1:16" ht="18" customHeight="1" x14ac:dyDescent="0.2">
      <c r="A19" s="179" t="s">
        <v>26</v>
      </c>
      <c r="B19" s="169"/>
      <c r="C19" s="169"/>
      <c r="D19" s="170" t="s">
        <v>27</v>
      </c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</row>
    <row r="20" spans="1:16" ht="18" customHeight="1" x14ac:dyDescent="0.2">
      <c r="A20" s="177" t="s">
        <v>28</v>
      </c>
      <c r="B20" s="169"/>
      <c r="C20" s="169"/>
      <c r="D20" s="170" t="s">
        <v>29</v>
      </c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</row>
    <row r="22" spans="1:16" ht="30" customHeight="1" x14ac:dyDescent="0.2">
      <c r="A22" s="173" t="s">
        <v>30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</row>
  </sheetData>
  <mergeCells count="31">
    <mergeCell ref="A2:P2"/>
    <mergeCell ref="A3:P3"/>
    <mergeCell ref="D7:P7"/>
    <mergeCell ref="A7:C7"/>
    <mergeCell ref="D16:P16"/>
    <mergeCell ref="A16:C16"/>
    <mergeCell ref="A22:P22"/>
    <mergeCell ref="D8:P8"/>
    <mergeCell ref="A12:C12"/>
    <mergeCell ref="D15:P15"/>
    <mergeCell ref="D14:P14"/>
    <mergeCell ref="A8:C8"/>
    <mergeCell ref="A14:C14"/>
    <mergeCell ref="A17:C17"/>
    <mergeCell ref="D20:P20"/>
    <mergeCell ref="D19:P19"/>
    <mergeCell ref="A20:C20"/>
    <mergeCell ref="A11:P11"/>
    <mergeCell ref="A13:C13"/>
    <mergeCell ref="A19:C19"/>
    <mergeCell ref="A9:C9"/>
    <mergeCell ref="A15:C15"/>
    <mergeCell ref="A5:P5"/>
    <mergeCell ref="D18:P18"/>
    <mergeCell ref="D9:P9"/>
    <mergeCell ref="D12:P12"/>
    <mergeCell ref="A18:C18"/>
    <mergeCell ref="D6:P6"/>
    <mergeCell ref="D13:P13"/>
    <mergeCell ref="A6:C6"/>
    <mergeCell ref="D17:P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L62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2" customWidth="1"/>
    <col min="2" max="5" width="18" customWidth="1"/>
    <col min="6" max="6" width="55" customWidth="1"/>
    <col min="7" max="11" width="12" customWidth="1"/>
  </cols>
  <sheetData>
    <row r="1" spans="1:12" ht="17" x14ac:dyDescent="0.2">
      <c r="A1" s="191" t="s">
        <v>31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2"/>
    </row>
    <row r="3" spans="1:12" x14ac:dyDescent="0.2">
      <c r="A3" s="187" t="s">
        <v>32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1:12" ht="16" customHeight="1" x14ac:dyDescent="0.2">
      <c r="A4" s="2" t="s">
        <v>33</v>
      </c>
      <c r="B4" s="3" t="s">
        <v>34</v>
      </c>
      <c r="C4" s="4" t="s">
        <v>35</v>
      </c>
    </row>
    <row r="5" spans="1:12" ht="16" customHeight="1" x14ac:dyDescent="0.2">
      <c r="A5" s="2" t="s">
        <v>36</v>
      </c>
      <c r="B5" s="3">
        <v>2025</v>
      </c>
      <c r="C5" s="4" t="s">
        <v>37</v>
      </c>
    </row>
    <row r="6" spans="1:12" ht="16" customHeight="1" x14ac:dyDescent="0.2">
      <c r="A6" s="2" t="s">
        <v>38</v>
      </c>
      <c r="B6" s="3">
        <v>2040</v>
      </c>
      <c r="C6" s="4" t="s">
        <v>39</v>
      </c>
    </row>
    <row r="7" spans="1:12" ht="16" customHeight="1" x14ac:dyDescent="0.2">
      <c r="A7" s="2" t="s">
        <v>40</v>
      </c>
      <c r="B7" s="3" t="s">
        <v>41</v>
      </c>
      <c r="C7" s="4" t="s">
        <v>42</v>
      </c>
    </row>
    <row r="8" spans="1:12" ht="16" customHeight="1" x14ac:dyDescent="0.2">
      <c r="A8" s="2" t="s">
        <v>43</v>
      </c>
      <c r="B8" s="3" t="s">
        <v>44</v>
      </c>
      <c r="C8" s="4" t="s">
        <v>45</v>
      </c>
    </row>
    <row r="9" spans="1:12" ht="16" customHeight="1" x14ac:dyDescent="0.2">
      <c r="A9" s="2" t="s">
        <v>9</v>
      </c>
      <c r="B9" s="3" t="s">
        <v>46</v>
      </c>
      <c r="C9" s="4" t="s">
        <v>47</v>
      </c>
    </row>
    <row r="11" spans="1:12" x14ac:dyDescent="0.2">
      <c r="A11" s="187" t="s">
        <v>48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</row>
    <row r="12" spans="1:12" x14ac:dyDescent="0.2">
      <c r="A12" s="184" t="s">
        <v>49</v>
      </c>
      <c r="B12" s="169"/>
      <c r="C12" s="5" t="s">
        <v>50</v>
      </c>
      <c r="D12" s="5" t="s">
        <v>51</v>
      </c>
      <c r="E12" s="5" t="s">
        <v>52</v>
      </c>
      <c r="F12" s="5" t="s">
        <v>53</v>
      </c>
    </row>
    <row r="13" spans="1:12" x14ac:dyDescent="0.2">
      <c r="A13" s="186" t="s">
        <v>54</v>
      </c>
      <c r="B13" s="169"/>
      <c r="C13" s="7">
        <v>5500</v>
      </c>
      <c r="D13" s="8">
        <f t="shared" ref="D13:D20" si="0">IF(C$21&gt;0,C13/C$21,0)</f>
        <v>0.21153846153846154</v>
      </c>
      <c r="E13" s="9" t="s">
        <v>55</v>
      </c>
      <c r="F13" s="10" t="s">
        <v>56</v>
      </c>
    </row>
    <row r="14" spans="1:12" x14ac:dyDescent="0.2">
      <c r="A14" s="186" t="s">
        <v>57</v>
      </c>
      <c r="B14" s="169"/>
      <c r="C14" s="7">
        <v>2800</v>
      </c>
      <c r="D14" s="8">
        <f t="shared" si="0"/>
        <v>0.1076923076923077</v>
      </c>
      <c r="E14" s="9" t="s">
        <v>55</v>
      </c>
      <c r="F14" s="10" t="s">
        <v>58</v>
      </c>
    </row>
    <row r="15" spans="1:12" x14ac:dyDescent="0.2">
      <c r="A15" s="186" t="s">
        <v>59</v>
      </c>
      <c r="B15" s="169"/>
      <c r="C15" s="7">
        <v>1800</v>
      </c>
      <c r="D15" s="8">
        <f t="shared" si="0"/>
        <v>6.9230769230769235E-2</v>
      </c>
      <c r="E15" s="9" t="s">
        <v>55</v>
      </c>
      <c r="F15" s="10" t="s">
        <v>60</v>
      </c>
    </row>
    <row r="16" spans="1:12" x14ac:dyDescent="0.2">
      <c r="A16" s="186" t="s">
        <v>61</v>
      </c>
      <c r="B16" s="169"/>
      <c r="C16" s="7">
        <v>1200</v>
      </c>
      <c r="D16" s="8">
        <f t="shared" si="0"/>
        <v>4.6153846153846156E-2</v>
      </c>
      <c r="E16" s="9" t="s">
        <v>55</v>
      </c>
      <c r="F16" s="10" t="s">
        <v>62</v>
      </c>
    </row>
    <row r="17" spans="1:12" x14ac:dyDescent="0.2">
      <c r="A17" s="186" t="s">
        <v>63</v>
      </c>
      <c r="B17" s="169"/>
      <c r="C17" s="7">
        <v>500</v>
      </c>
      <c r="D17" s="8">
        <f t="shared" si="0"/>
        <v>1.9230769230769232E-2</v>
      </c>
      <c r="E17" s="9" t="s">
        <v>55</v>
      </c>
      <c r="F17" s="10" t="s">
        <v>64</v>
      </c>
    </row>
    <row r="18" spans="1:12" x14ac:dyDescent="0.2">
      <c r="A18" s="185" t="s">
        <v>65</v>
      </c>
      <c r="B18" s="169"/>
      <c r="C18" s="7">
        <v>7200</v>
      </c>
      <c r="D18" s="8">
        <f t="shared" si="0"/>
        <v>0.27692307692307694</v>
      </c>
      <c r="E18" s="12" t="s">
        <v>66</v>
      </c>
      <c r="F18" s="10" t="s">
        <v>67</v>
      </c>
    </row>
    <row r="19" spans="1:12" x14ac:dyDescent="0.2">
      <c r="A19" s="185" t="s">
        <v>68</v>
      </c>
      <c r="B19" s="169"/>
      <c r="C19" s="7">
        <v>4000</v>
      </c>
      <c r="D19" s="8">
        <f t="shared" si="0"/>
        <v>0.15384615384615385</v>
      </c>
      <c r="E19" s="12" t="s">
        <v>66</v>
      </c>
      <c r="F19" s="10" t="s">
        <v>69</v>
      </c>
    </row>
    <row r="20" spans="1:12" x14ac:dyDescent="0.2">
      <c r="A20" s="185" t="s">
        <v>70</v>
      </c>
      <c r="B20" s="169"/>
      <c r="C20" s="7">
        <v>3000</v>
      </c>
      <c r="D20" s="8">
        <f t="shared" si="0"/>
        <v>0.11538461538461539</v>
      </c>
      <c r="E20" s="12" t="s">
        <v>66</v>
      </c>
      <c r="F20" s="10" t="s">
        <v>71</v>
      </c>
    </row>
    <row r="21" spans="1:12" x14ac:dyDescent="0.2">
      <c r="A21" s="189" t="s">
        <v>72</v>
      </c>
      <c r="B21" s="190"/>
      <c r="C21" s="14">
        <f>SUM(C13:C20)</f>
        <v>26000</v>
      </c>
      <c r="D21" s="15">
        <f>SUM(D13:D20)</f>
        <v>1</v>
      </c>
      <c r="E21" s="16"/>
      <c r="F21" s="4" t="s">
        <v>73</v>
      </c>
    </row>
    <row r="23" spans="1:12" x14ac:dyDescent="0.2">
      <c r="A23" s="187" t="s">
        <v>74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</row>
    <row r="24" spans="1:12" x14ac:dyDescent="0.2">
      <c r="A24" s="184" t="s">
        <v>49</v>
      </c>
      <c r="B24" s="169"/>
      <c r="C24" s="17" t="s">
        <v>75</v>
      </c>
      <c r="D24" s="5" t="s">
        <v>76</v>
      </c>
      <c r="E24" s="18" t="s">
        <v>77</v>
      </c>
      <c r="F24" s="19" t="s">
        <v>78</v>
      </c>
    </row>
    <row r="25" spans="1:12" x14ac:dyDescent="0.2">
      <c r="A25" s="186" t="s">
        <v>54</v>
      </c>
      <c r="B25" s="169"/>
      <c r="C25" s="20">
        <v>0.05</v>
      </c>
      <c r="D25" s="20">
        <v>3.5000000000000003E-2</v>
      </c>
      <c r="E25" s="20">
        <v>1.7999999999999999E-2</v>
      </c>
      <c r="F25" s="21" t="s">
        <v>79</v>
      </c>
    </row>
    <row r="26" spans="1:12" x14ac:dyDescent="0.2">
      <c r="A26" s="186" t="s">
        <v>57</v>
      </c>
      <c r="B26" s="169"/>
      <c r="C26" s="20">
        <v>0.09</v>
      </c>
      <c r="D26" s="20">
        <v>6.5000000000000002E-2</v>
      </c>
      <c r="E26" s="20">
        <v>0.04</v>
      </c>
      <c r="F26" s="21" t="s">
        <v>80</v>
      </c>
    </row>
    <row r="27" spans="1:12" x14ac:dyDescent="0.2">
      <c r="A27" s="186" t="s">
        <v>59</v>
      </c>
      <c r="B27" s="169"/>
      <c r="C27" s="20">
        <v>0.08</v>
      </c>
      <c r="D27" s="20">
        <v>0.06</v>
      </c>
      <c r="E27" s="20">
        <v>3.7999999999999999E-2</v>
      </c>
      <c r="F27" s="21" t="s">
        <v>81</v>
      </c>
    </row>
    <row r="28" spans="1:12" x14ac:dyDescent="0.2">
      <c r="A28" s="186" t="s">
        <v>61</v>
      </c>
      <c r="B28" s="169"/>
      <c r="C28" s="20">
        <v>6.5000000000000002E-2</v>
      </c>
      <c r="D28" s="20">
        <v>0.05</v>
      </c>
      <c r="E28" s="20">
        <v>0.03</v>
      </c>
      <c r="F28" s="21" t="s">
        <v>82</v>
      </c>
    </row>
    <row r="29" spans="1:12" x14ac:dyDescent="0.2">
      <c r="A29" s="186" t="s">
        <v>63</v>
      </c>
      <c r="B29" s="169"/>
      <c r="C29" s="20">
        <v>0.06</v>
      </c>
      <c r="D29" s="20">
        <v>0.04</v>
      </c>
      <c r="E29" s="20">
        <v>2.5000000000000001E-2</v>
      </c>
      <c r="F29" s="21" t="s">
        <v>83</v>
      </c>
    </row>
    <row r="30" spans="1:12" x14ac:dyDescent="0.2">
      <c r="A30" s="185" t="s">
        <v>65</v>
      </c>
      <c r="B30" s="169"/>
      <c r="C30" s="20">
        <v>1.4999999999999999E-2</v>
      </c>
      <c r="D30" s="20">
        <v>8.0000000000000002E-3</v>
      </c>
      <c r="E30" s="20">
        <v>2E-3</v>
      </c>
      <c r="F30" s="21" t="s">
        <v>84</v>
      </c>
    </row>
    <row r="31" spans="1:12" x14ac:dyDescent="0.2">
      <c r="A31" s="185" t="s">
        <v>68</v>
      </c>
      <c r="B31" s="169"/>
      <c r="C31" s="20">
        <v>0.02</v>
      </c>
      <c r="D31" s="20">
        <v>1.2E-2</v>
      </c>
      <c r="E31" s="20">
        <v>5.0000000000000001E-3</v>
      </c>
      <c r="F31" s="21" t="s">
        <v>85</v>
      </c>
    </row>
    <row r="32" spans="1:12" x14ac:dyDescent="0.2">
      <c r="A32" s="185" t="s">
        <v>70</v>
      </c>
      <c r="B32" s="169"/>
      <c r="C32" s="20">
        <v>1.4999999999999999E-2</v>
      </c>
      <c r="D32" s="20">
        <v>0.01</v>
      </c>
      <c r="E32" s="20">
        <v>3.0000000000000001E-3</v>
      </c>
      <c r="F32" s="21" t="s">
        <v>86</v>
      </c>
    </row>
    <row r="33" spans="1:12" x14ac:dyDescent="0.2">
      <c r="A33" s="188" t="s">
        <v>87</v>
      </c>
      <c r="B33" s="169"/>
      <c r="C33" s="169"/>
      <c r="D33" s="169"/>
      <c r="E33" s="169"/>
      <c r="F33" s="169"/>
    </row>
    <row r="35" spans="1:12" x14ac:dyDescent="0.2">
      <c r="A35" s="187" t="s">
        <v>88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</row>
    <row r="36" spans="1:12" x14ac:dyDescent="0.2">
      <c r="A36" s="5" t="s">
        <v>89</v>
      </c>
      <c r="B36" s="5" t="s">
        <v>90</v>
      </c>
      <c r="C36" s="5" t="s">
        <v>91</v>
      </c>
      <c r="D36" s="5" t="s">
        <v>92</v>
      </c>
      <c r="E36" s="5" t="s">
        <v>93</v>
      </c>
      <c r="F36" s="5" t="s">
        <v>94</v>
      </c>
      <c r="G36" s="5" t="s">
        <v>95</v>
      </c>
      <c r="H36" s="5" t="s">
        <v>96</v>
      </c>
      <c r="I36" s="5" t="s">
        <v>97</v>
      </c>
      <c r="J36" s="5" t="s">
        <v>98</v>
      </c>
      <c r="K36" s="5" t="s">
        <v>99</v>
      </c>
    </row>
    <row r="37" spans="1:12" x14ac:dyDescent="0.2">
      <c r="A37" s="6" t="s">
        <v>100</v>
      </c>
      <c r="B37" s="22" t="s">
        <v>101</v>
      </c>
      <c r="C37" s="22" t="s">
        <v>102</v>
      </c>
      <c r="D37" s="22" t="s">
        <v>103</v>
      </c>
      <c r="E37" s="7">
        <v>50</v>
      </c>
      <c r="F37" s="3">
        <v>30</v>
      </c>
      <c r="G37" s="20">
        <v>0.4</v>
      </c>
      <c r="H37" s="23">
        <v>2025</v>
      </c>
      <c r="I37" s="22" t="s">
        <v>104</v>
      </c>
      <c r="J37" s="22" t="s">
        <v>104</v>
      </c>
      <c r="K37" s="22" t="s">
        <v>104</v>
      </c>
    </row>
    <row r="38" spans="1:12" x14ac:dyDescent="0.2">
      <c r="A38" s="6" t="s">
        <v>105</v>
      </c>
      <c r="B38" s="22" t="s">
        <v>101</v>
      </c>
      <c r="C38" s="22" t="s">
        <v>106</v>
      </c>
      <c r="D38" s="22" t="s">
        <v>107</v>
      </c>
      <c r="E38" s="7">
        <v>200</v>
      </c>
      <c r="F38" s="3">
        <v>28</v>
      </c>
      <c r="G38" s="20">
        <v>0.49</v>
      </c>
      <c r="H38" s="23">
        <v>2029</v>
      </c>
      <c r="I38" s="22" t="s">
        <v>108</v>
      </c>
      <c r="J38" s="22" t="s">
        <v>104</v>
      </c>
      <c r="K38" s="22" t="s">
        <v>104</v>
      </c>
    </row>
    <row r="39" spans="1:12" x14ac:dyDescent="0.2">
      <c r="A39" s="6" t="s">
        <v>109</v>
      </c>
      <c r="B39" s="22" t="s">
        <v>110</v>
      </c>
      <c r="C39" s="22" t="s">
        <v>106</v>
      </c>
      <c r="D39" s="22" t="s">
        <v>107</v>
      </c>
      <c r="E39" s="7">
        <v>150</v>
      </c>
      <c r="F39" s="3">
        <v>19</v>
      </c>
      <c r="G39" s="20">
        <v>0.32</v>
      </c>
      <c r="H39" s="23">
        <v>2031</v>
      </c>
      <c r="I39" s="22" t="s">
        <v>108</v>
      </c>
      <c r="J39" s="22" t="s">
        <v>104</v>
      </c>
      <c r="K39" s="22" t="s">
        <v>104</v>
      </c>
    </row>
    <row r="40" spans="1:12" x14ac:dyDescent="0.2">
      <c r="A40" s="6" t="s">
        <v>111</v>
      </c>
      <c r="B40" s="22" t="s">
        <v>110</v>
      </c>
      <c r="C40" s="22" t="s">
        <v>106</v>
      </c>
      <c r="D40" s="22" t="s">
        <v>107</v>
      </c>
      <c r="E40" s="7">
        <v>200</v>
      </c>
      <c r="F40" s="3">
        <v>25</v>
      </c>
      <c r="G40" s="20">
        <v>0.56999999999999995</v>
      </c>
      <c r="H40" s="23">
        <v>2032</v>
      </c>
      <c r="I40" s="22" t="s">
        <v>108</v>
      </c>
      <c r="J40" s="22" t="s">
        <v>108</v>
      </c>
      <c r="K40" s="22" t="s">
        <v>104</v>
      </c>
    </row>
    <row r="41" spans="1:12" x14ac:dyDescent="0.2">
      <c r="A41" s="6" t="s">
        <v>112</v>
      </c>
      <c r="B41" s="22" t="s">
        <v>110</v>
      </c>
      <c r="C41" s="22" t="s">
        <v>106</v>
      </c>
      <c r="D41" s="22" t="s">
        <v>107</v>
      </c>
      <c r="E41" s="7">
        <v>200</v>
      </c>
      <c r="F41" s="3">
        <v>27</v>
      </c>
      <c r="G41" s="20">
        <v>0.38</v>
      </c>
      <c r="H41" s="23">
        <v>2033</v>
      </c>
      <c r="I41" s="22" t="s">
        <v>108</v>
      </c>
      <c r="J41" s="22" t="s">
        <v>108</v>
      </c>
      <c r="K41" s="22" t="s">
        <v>104</v>
      </c>
    </row>
    <row r="42" spans="1:12" x14ac:dyDescent="0.2">
      <c r="A42" s="1" t="s">
        <v>113</v>
      </c>
      <c r="B42" s="24" t="s">
        <v>114</v>
      </c>
      <c r="C42" s="24" t="s">
        <v>106</v>
      </c>
      <c r="D42" s="24" t="s">
        <v>115</v>
      </c>
      <c r="E42" s="7">
        <v>170</v>
      </c>
      <c r="F42" s="3">
        <v>20</v>
      </c>
      <c r="G42" s="20">
        <v>0.4</v>
      </c>
      <c r="H42" s="25">
        <v>2033</v>
      </c>
      <c r="I42" s="24" t="s">
        <v>108</v>
      </c>
      <c r="J42" s="24" t="s">
        <v>108</v>
      </c>
      <c r="K42" s="24" t="s">
        <v>104</v>
      </c>
    </row>
    <row r="43" spans="1:12" x14ac:dyDescent="0.2">
      <c r="A43" s="1" t="s">
        <v>116</v>
      </c>
      <c r="B43" s="24" t="s">
        <v>110</v>
      </c>
      <c r="C43" s="24" t="s">
        <v>106</v>
      </c>
      <c r="D43" s="24" t="s">
        <v>115</v>
      </c>
      <c r="E43" s="7">
        <v>100</v>
      </c>
      <c r="F43" s="3">
        <v>22</v>
      </c>
      <c r="G43" s="20">
        <v>0.33</v>
      </c>
      <c r="H43" s="25">
        <v>2035</v>
      </c>
      <c r="I43" s="24" t="s">
        <v>108</v>
      </c>
      <c r="J43" s="24" t="s">
        <v>108</v>
      </c>
      <c r="K43" s="24" t="s">
        <v>104</v>
      </c>
    </row>
    <row r="44" spans="1:12" x14ac:dyDescent="0.2">
      <c r="A44" s="1" t="s">
        <v>117</v>
      </c>
      <c r="B44" s="24" t="s">
        <v>118</v>
      </c>
      <c r="C44" s="24" t="s">
        <v>119</v>
      </c>
      <c r="D44" s="24" t="s">
        <v>120</v>
      </c>
      <c r="E44" s="7">
        <v>70</v>
      </c>
      <c r="F44" s="3">
        <v>16</v>
      </c>
      <c r="G44" s="20">
        <v>0.52</v>
      </c>
      <c r="H44" s="25">
        <v>2034</v>
      </c>
      <c r="I44" s="24" t="s">
        <v>108</v>
      </c>
      <c r="J44" s="24" t="s">
        <v>108</v>
      </c>
      <c r="K44" s="24" t="s">
        <v>104</v>
      </c>
    </row>
    <row r="45" spans="1:12" x14ac:dyDescent="0.2">
      <c r="A45" s="188" t="s">
        <v>121</v>
      </c>
      <c r="B45" s="169"/>
      <c r="C45" s="169"/>
      <c r="D45" s="169"/>
      <c r="E45" s="169"/>
      <c r="F45" s="169"/>
      <c r="G45" s="169"/>
      <c r="H45" s="169"/>
      <c r="I45" s="169"/>
      <c r="J45" s="169"/>
      <c r="K45" s="169"/>
    </row>
    <row r="47" spans="1:12" x14ac:dyDescent="0.2">
      <c r="A47" s="187" t="s">
        <v>122</v>
      </c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</row>
    <row r="48" spans="1:12" x14ac:dyDescent="0.2">
      <c r="A48" s="5" t="s">
        <v>123</v>
      </c>
      <c r="B48" s="5" t="s">
        <v>124</v>
      </c>
      <c r="C48" s="5" t="s">
        <v>125</v>
      </c>
      <c r="D48" s="5" t="s">
        <v>126</v>
      </c>
      <c r="E48" s="5" t="s">
        <v>127</v>
      </c>
      <c r="F48" s="5" t="s">
        <v>128</v>
      </c>
    </row>
    <row r="49" spans="1:12" x14ac:dyDescent="0.2">
      <c r="A49" s="26" t="s">
        <v>129</v>
      </c>
      <c r="B49" s="27">
        <v>10500</v>
      </c>
      <c r="C49" s="27">
        <v>12000</v>
      </c>
      <c r="D49" s="27">
        <v>13000</v>
      </c>
      <c r="E49" s="27">
        <v>14000</v>
      </c>
      <c r="F49" s="21" t="s">
        <v>130</v>
      </c>
    </row>
    <row r="50" spans="1:12" x14ac:dyDescent="0.2">
      <c r="A50" s="28" t="s">
        <v>131</v>
      </c>
      <c r="B50" s="27">
        <v>9200</v>
      </c>
      <c r="C50" s="27">
        <v>9800</v>
      </c>
      <c r="D50" s="27">
        <v>10200</v>
      </c>
      <c r="E50" s="27">
        <v>10500</v>
      </c>
      <c r="F50" s="21" t="s">
        <v>132</v>
      </c>
    </row>
    <row r="51" spans="1:12" x14ac:dyDescent="0.2">
      <c r="A51" s="29" t="s">
        <v>133</v>
      </c>
      <c r="B51" s="27">
        <v>7800</v>
      </c>
      <c r="C51" s="27">
        <v>7500</v>
      </c>
      <c r="D51" s="27">
        <v>7200</v>
      </c>
      <c r="E51" s="27">
        <v>7000</v>
      </c>
      <c r="F51" s="21" t="s">
        <v>134</v>
      </c>
    </row>
    <row r="53" spans="1:12" x14ac:dyDescent="0.2">
      <c r="A53" s="187" t="s">
        <v>135</v>
      </c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</row>
    <row r="54" spans="1:12" x14ac:dyDescent="0.2">
      <c r="A54" s="5" t="s">
        <v>136</v>
      </c>
      <c r="B54" s="5" t="s">
        <v>137</v>
      </c>
      <c r="C54" s="5" t="s">
        <v>138</v>
      </c>
    </row>
    <row r="55" spans="1:12" x14ac:dyDescent="0.2">
      <c r="A55" s="6" t="s">
        <v>139</v>
      </c>
      <c r="B55" s="27">
        <v>20000</v>
      </c>
      <c r="C55" s="4" t="s">
        <v>140</v>
      </c>
    </row>
    <row r="56" spans="1:12" x14ac:dyDescent="0.2">
      <c r="A56" s="6" t="s">
        <v>141</v>
      </c>
      <c r="B56" s="27">
        <v>8000</v>
      </c>
      <c r="C56" s="4" t="s">
        <v>142</v>
      </c>
    </row>
    <row r="57" spans="1:12" x14ac:dyDescent="0.2">
      <c r="A57" s="6" t="s">
        <v>143</v>
      </c>
      <c r="B57" s="27">
        <v>4500</v>
      </c>
      <c r="C57" s="4" t="s">
        <v>144</v>
      </c>
    </row>
    <row r="58" spans="1:12" x14ac:dyDescent="0.2">
      <c r="A58" s="6" t="s">
        <v>145</v>
      </c>
      <c r="B58" s="27">
        <v>5800</v>
      </c>
      <c r="C58" s="4" t="s">
        <v>146</v>
      </c>
    </row>
    <row r="59" spans="1:12" x14ac:dyDescent="0.2">
      <c r="A59" s="6" t="s">
        <v>147</v>
      </c>
      <c r="B59" s="27">
        <v>7500</v>
      </c>
      <c r="C59" s="4" t="s">
        <v>148</v>
      </c>
    </row>
    <row r="60" spans="1:12" x14ac:dyDescent="0.2">
      <c r="A60" s="6" t="s">
        <v>149</v>
      </c>
      <c r="B60" s="20">
        <v>0.03</v>
      </c>
      <c r="C60" s="4" t="s">
        <v>150</v>
      </c>
    </row>
    <row r="61" spans="1:12" x14ac:dyDescent="0.2">
      <c r="A61" s="6" t="s">
        <v>151</v>
      </c>
      <c r="B61" s="20">
        <v>0.03</v>
      </c>
      <c r="C61" s="4" t="s">
        <v>152</v>
      </c>
    </row>
    <row r="62" spans="1:12" x14ac:dyDescent="0.2">
      <c r="A62" s="6" t="s">
        <v>153</v>
      </c>
      <c r="B62" s="20">
        <v>0.35</v>
      </c>
      <c r="C62" s="4" t="s">
        <v>154</v>
      </c>
    </row>
  </sheetData>
  <mergeCells count="28">
    <mergeCell ref="A1:L1"/>
    <mergeCell ref="A28:B28"/>
    <mergeCell ref="A13:B13"/>
    <mergeCell ref="A31:B31"/>
    <mergeCell ref="A47:L47"/>
    <mergeCell ref="A23:L23"/>
    <mergeCell ref="A18:B18"/>
    <mergeCell ref="A27:B27"/>
    <mergeCell ref="A53:L53"/>
    <mergeCell ref="A35:L35"/>
    <mergeCell ref="A26:B26"/>
    <mergeCell ref="A21:B21"/>
    <mergeCell ref="A32:B32"/>
    <mergeCell ref="A20:B20"/>
    <mergeCell ref="A29:B29"/>
    <mergeCell ref="A19:B19"/>
    <mergeCell ref="A24:B24"/>
    <mergeCell ref="A30:B30"/>
    <mergeCell ref="A15:B15"/>
    <mergeCell ref="A3:L3"/>
    <mergeCell ref="A45:K45"/>
    <mergeCell ref="A33:F33"/>
    <mergeCell ref="A16:B16"/>
    <mergeCell ref="A25:B25"/>
    <mergeCell ref="A12:B12"/>
    <mergeCell ref="A14:B14"/>
    <mergeCell ref="A17:B17"/>
    <mergeCell ref="A11:L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V3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4" customWidth="1"/>
    <col min="2" max="2" width="6" customWidth="1"/>
    <col min="3" max="18" width="8" customWidth="1"/>
    <col min="19" max="22" width="9" customWidth="1"/>
  </cols>
  <sheetData>
    <row r="1" spans="1:22" ht="17" x14ac:dyDescent="0.2">
      <c r="A1" s="191" t="s">
        <v>155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2"/>
    </row>
    <row r="3" spans="1:22" x14ac:dyDescent="0.2">
      <c r="A3" s="19" t="s">
        <v>156</v>
      </c>
      <c r="B3" s="5" t="s">
        <v>157</v>
      </c>
      <c r="C3" s="5" t="s">
        <v>158</v>
      </c>
      <c r="D3" s="5" t="s">
        <v>159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165</v>
      </c>
      <c r="K3" s="5" t="s">
        <v>166</v>
      </c>
      <c r="L3" s="5" t="s">
        <v>167</v>
      </c>
      <c r="M3" s="5" t="s">
        <v>168</v>
      </c>
      <c r="N3" s="5" t="s">
        <v>169</v>
      </c>
      <c r="O3" s="5" t="s">
        <v>170</v>
      </c>
      <c r="P3" s="5" t="s">
        <v>171</v>
      </c>
      <c r="Q3" s="5" t="s">
        <v>172</v>
      </c>
      <c r="R3" s="5" t="s">
        <v>173</v>
      </c>
      <c r="S3" s="5" t="s">
        <v>174</v>
      </c>
      <c r="T3" s="5" t="s">
        <v>175</v>
      </c>
      <c r="U3" s="5" t="s">
        <v>176</v>
      </c>
      <c r="V3" s="5" t="s">
        <v>177</v>
      </c>
    </row>
    <row r="4" spans="1:22" x14ac:dyDescent="0.2">
      <c r="A4" s="188" t="s">
        <v>178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pans="1:22" x14ac:dyDescent="0.2">
      <c r="A5" s="193" t="s">
        <v>179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</row>
    <row r="6" spans="1:22" x14ac:dyDescent="0.2">
      <c r="A6" s="30" t="s">
        <v>54</v>
      </c>
      <c r="B6" s="31">
        <v>1</v>
      </c>
      <c r="C6" s="32">
        <f>PARAMETERS!$C$13</f>
        <v>5500</v>
      </c>
      <c r="D6" s="32">
        <f>C6*(1+PARAMETERS!$C$25)</f>
        <v>5775</v>
      </c>
      <c r="E6" s="32">
        <f>D6*(1+PARAMETERS!$C$25)</f>
        <v>6063.75</v>
      </c>
      <c r="F6" s="32">
        <f>E6*(1+PARAMETERS!$C$25)</f>
        <v>6366.9375</v>
      </c>
      <c r="G6" s="32">
        <f>F6*(1+PARAMETERS!$C$25)</f>
        <v>6685.2843750000002</v>
      </c>
      <c r="H6" s="32">
        <f>G6*(1+PARAMETERS!$C$25)</f>
        <v>7019.5485937500007</v>
      </c>
      <c r="I6" s="32">
        <f>H6*(1+PARAMETERS!$C$25)</f>
        <v>7370.526023437501</v>
      </c>
      <c r="J6" s="32">
        <f>I6*(1+PARAMETERS!$C$25)</f>
        <v>7739.0523246093762</v>
      </c>
      <c r="K6" s="32">
        <f>J6*(1+PARAMETERS!$C$25)</f>
        <v>8126.0049408398454</v>
      </c>
      <c r="L6" s="32">
        <f>K6*(1+PARAMETERS!$C$25)</f>
        <v>8532.3051878818387</v>
      </c>
      <c r="M6" s="32">
        <f>L6*(1+PARAMETERS!$C$25)</f>
        <v>8958.9204472759302</v>
      </c>
      <c r="N6" s="32">
        <f>M6*(1+PARAMETERS!$C$25)</f>
        <v>9406.8664696397263</v>
      </c>
      <c r="O6" s="32">
        <f>N6*(1+PARAMETERS!$C$25)</f>
        <v>9877.2097931217122</v>
      </c>
      <c r="P6" s="32">
        <f>O6*(1+PARAMETERS!$C$25)</f>
        <v>10371.070282777799</v>
      </c>
      <c r="Q6" s="32">
        <f>P6*(1+PARAMETERS!$C$25)</f>
        <v>10889.623796916689</v>
      </c>
      <c r="R6" s="32">
        <f>Q6*(1+PARAMETERS!$C$25)</f>
        <v>11434.104986762524</v>
      </c>
      <c r="S6" s="33">
        <f t="shared" ref="S6:S14" si="0">IF(C6&gt;0,(H6/C6)^(1/5)-1,0)</f>
        <v>5.0000000000000044E-2</v>
      </c>
      <c r="T6" s="33">
        <f t="shared" ref="T6:T14" si="1">IF(H6&gt;0,(M6/H6)^(1/5)-1,0)</f>
        <v>5.0000000000000044E-2</v>
      </c>
      <c r="U6" s="33">
        <f t="shared" ref="U6:U14" si="2">IF(M6&gt;0,(R6/M6)^(1/5)-1,0)</f>
        <v>5.0000000000000044E-2</v>
      </c>
      <c r="V6" s="34">
        <f t="shared" ref="V6:V14" si="3">IF(C6&gt;0,R6/C6,0)</f>
        <v>2.0789281794113679</v>
      </c>
    </row>
    <row r="7" spans="1:22" x14ac:dyDescent="0.2">
      <c r="A7" s="10" t="s">
        <v>57</v>
      </c>
      <c r="B7" s="35">
        <v>2</v>
      </c>
      <c r="C7" s="36">
        <f>PARAMETERS!$C$14</f>
        <v>2800</v>
      </c>
      <c r="D7" s="36">
        <f>C7*(1+PARAMETERS!$C$26)</f>
        <v>3052</v>
      </c>
      <c r="E7" s="36">
        <f>D7*(1+PARAMETERS!$C$26)</f>
        <v>3326.6800000000003</v>
      </c>
      <c r="F7" s="36">
        <f>E7*(1+PARAMETERS!$C$26)</f>
        <v>3626.0812000000005</v>
      </c>
      <c r="G7" s="36">
        <f>F7*(1+PARAMETERS!$C$26)</f>
        <v>3952.4285080000009</v>
      </c>
      <c r="H7" s="36">
        <f>G7*(1+PARAMETERS!$C$26)</f>
        <v>4308.1470737200016</v>
      </c>
      <c r="I7" s="36">
        <f>H7*(1+PARAMETERS!$C$26)</f>
        <v>4695.8803103548016</v>
      </c>
      <c r="J7" s="36">
        <f>I7*(1+PARAMETERS!$C$26)</f>
        <v>5118.5095382867339</v>
      </c>
      <c r="K7" s="36">
        <f>J7*(1+PARAMETERS!$C$26)</f>
        <v>5579.1753967325403</v>
      </c>
      <c r="L7" s="36">
        <f>K7*(1+PARAMETERS!$C$26)</f>
        <v>6081.3011824384694</v>
      </c>
      <c r="M7" s="36">
        <f>L7*(1+PARAMETERS!$C$26)</f>
        <v>6628.6182888579324</v>
      </c>
      <c r="N7" s="36">
        <f>M7*(1+PARAMETERS!$C$26)</f>
        <v>7225.1939348551468</v>
      </c>
      <c r="O7" s="36">
        <f>N7*(1+PARAMETERS!$C$26)</f>
        <v>7875.4613889921102</v>
      </c>
      <c r="P7" s="36">
        <f>O7*(1+PARAMETERS!$C$26)</f>
        <v>8584.2529140014012</v>
      </c>
      <c r="Q7" s="36">
        <f>P7*(1+PARAMETERS!$C$26)</f>
        <v>9356.8356762615276</v>
      </c>
      <c r="R7" s="36">
        <f>Q7*(1+PARAMETERS!$C$26)</f>
        <v>10198.950887125065</v>
      </c>
      <c r="S7" s="8">
        <f t="shared" si="0"/>
        <v>9.000000000000008E-2</v>
      </c>
      <c r="T7" s="8">
        <f t="shared" si="1"/>
        <v>9.000000000000008E-2</v>
      </c>
      <c r="U7" s="8">
        <f t="shared" si="2"/>
        <v>9.000000000000008E-2</v>
      </c>
      <c r="V7" s="37">
        <f t="shared" si="3"/>
        <v>3.6424824596875234</v>
      </c>
    </row>
    <row r="8" spans="1:22" x14ac:dyDescent="0.2">
      <c r="A8" s="30" t="s">
        <v>59</v>
      </c>
      <c r="B8" s="31">
        <v>3</v>
      </c>
      <c r="C8" s="32">
        <f>PARAMETERS!$C$15</f>
        <v>1800</v>
      </c>
      <c r="D8" s="32">
        <f>C8*(1+PARAMETERS!$C$27)</f>
        <v>1944.0000000000002</v>
      </c>
      <c r="E8" s="32">
        <f>D8*(1+PARAMETERS!$C$27)</f>
        <v>2099.5200000000004</v>
      </c>
      <c r="F8" s="32">
        <f>E8*(1+PARAMETERS!$C$27)</f>
        <v>2267.4816000000005</v>
      </c>
      <c r="G8" s="32">
        <f>F8*(1+PARAMETERS!$C$27)</f>
        <v>2448.8801280000007</v>
      </c>
      <c r="H8" s="32">
        <f>G8*(1+PARAMETERS!$C$27)</f>
        <v>2644.7905382400008</v>
      </c>
      <c r="I8" s="32">
        <f>H8*(1+PARAMETERS!$C$27)</f>
        <v>2856.3737812992013</v>
      </c>
      <c r="J8" s="32">
        <f>I8*(1+PARAMETERS!$C$27)</f>
        <v>3084.8836838031375</v>
      </c>
      <c r="K8" s="32">
        <f>J8*(1+PARAMETERS!$C$27)</f>
        <v>3331.6743785073886</v>
      </c>
      <c r="L8" s="32">
        <f>K8*(1+PARAMETERS!$C$27)</f>
        <v>3598.20832878798</v>
      </c>
      <c r="M8" s="32">
        <f>L8*(1+PARAMETERS!$C$27)</f>
        <v>3886.0649950910188</v>
      </c>
      <c r="N8" s="32">
        <f>M8*(1+PARAMETERS!$C$27)</f>
        <v>4196.9501946983009</v>
      </c>
      <c r="O8" s="32">
        <f>N8*(1+PARAMETERS!$C$27)</f>
        <v>4532.7062102741656</v>
      </c>
      <c r="P8" s="32">
        <f>O8*(1+PARAMETERS!$C$27)</f>
        <v>4895.3227070960993</v>
      </c>
      <c r="Q8" s="32">
        <f>P8*(1+PARAMETERS!$C$27)</f>
        <v>5286.9485236637875</v>
      </c>
      <c r="R8" s="32">
        <f>Q8*(1+PARAMETERS!$C$27)</f>
        <v>5709.9044055568911</v>
      </c>
      <c r="S8" s="33">
        <f t="shared" si="0"/>
        <v>8.0000000000000071E-2</v>
      </c>
      <c r="T8" s="33">
        <f t="shared" si="1"/>
        <v>8.0000000000000071E-2</v>
      </c>
      <c r="U8" s="33">
        <f t="shared" si="2"/>
        <v>8.0000000000000071E-2</v>
      </c>
      <c r="V8" s="34">
        <f t="shared" si="3"/>
        <v>3.1721691141982729</v>
      </c>
    </row>
    <row r="9" spans="1:22" x14ac:dyDescent="0.2">
      <c r="A9" s="10" t="s">
        <v>61</v>
      </c>
      <c r="B9" s="35">
        <v>4</v>
      </c>
      <c r="C9" s="36">
        <f>PARAMETERS!$C$16</f>
        <v>1200</v>
      </c>
      <c r="D9" s="36">
        <f>C9*(1+PARAMETERS!$C$28)</f>
        <v>1278</v>
      </c>
      <c r="E9" s="36">
        <f>D9*(1+PARAMETERS!$C$28)</f>
        <v>1361.07</v>
      </c>
      <c r="F9" s="36">
        <f>E9*(1+PARAMETERS!$C$28)</f>
        <v>1449.53955</v>
      </c>
      <c r="G9" s="36">
        <f>F9*(1+PARAMETERS!$C$28)</f>
        <v>1543.7596207499998</v>
      </c>
      <c r="H9" s="36">
        <f>G9*(1+PARAMETERS!$C$28)</f>
        <v>1644.1039960987498</v>
      </c>
      <c r="I9" s="36">
        <f>H9*(1+PARAMETERS!$C$28)</f>
        <v>1750.9707558451685</v>
      </c>
      <c r="J9" s="36">
        <f>I9*(1+PARAMETERS!$C$28)</f>
        <v>1864.7838549751043</v>
      </c>
      <c r="K9" s="36">
        <f>J9*(1+PARAMETERS!$C$28)</f>
        <v>1985.9948055484861</v>
      </c>
      <c r="L9" s="36">
        <f>K9*(1+PARAMETERS!$C$28)</f>
        <v>2115.0844679091374</v>
      </c>
      <c r="M9" s="36">
        <f>L9*(1+PARAMETERS!$C$28)</f>
        <v>2252.5649583232312</v>
      </c>
      <c r="N9" s="36">
        <f>M9*(1+PARAMETERS!$C$28)</f>
        <v>2398.9816806142412</v>
      </c>
      <c r="O9" s="36">
        <f>N9*(1+PARAMETERS!$C$28)</f>
        <v>2554.9154898541669</v>
      </c>
      <c r="P9" s="36">
        <f>O9*(1+PARAMETERS!$C$28)</f>
        <v>2720.9849966946877</v>
      </c>
      <c r="Q9" s="36">
        <f>P9*(1+PARAMETERS!$C$28)</f>
        <v>2897.8490214798421</v>
      </c>
      <c r="R9" s="36">
        <f>Q9*(1+PARAMETERS!$C$28)</f>
        <v>3086.2092078760315</v>
      </c>
      <c r="S9" s="8">
        <f t="shared" si="0"/>
        <v>6.4999999999999947E-2</v>
      </c>
      <c r="T9" s="8">
        <f t="shared" si="1"/>
        <v>6.4999999999999947E-2</v>
      </c>
      <c r="U9" s="8">
        <f t="shared" si="2"/>
        <v>6.4999999999999947E-2</v>
      </c>
      <c r="V9" s="37">
        <f t="shared" si="3"/>
        <v>2.5718410065633597</v>
      </c>
    </row>
    <row r="10" spans="1:22" x14ac:dyDescent="0.2">
      <c r="A10" s="30" t="s">
        <v>63</v>
      </c>
      <c r="B10" s="31">
        <v>5</v>
      </c>
      <c r="C10" s="32">
        <f>PARAMETERS!$C$17</f>
        <v>500</v>
      </c>
      <c r="D10" s="32">
        <f>C10*(1+PARAMETERS!$C$29)</f>
        <v>530</v>
      </c>
      <c r="E10" s="32">
        <f>D10*(1+PARAMETERS!$C$29)</f>
        <v>561.80000000000007</v>
      </c>
      <c r="F10" s="32">
        <f>E10*(1+PARAMETERS!$C$29)</f>
        <v>595.50800000000015</v>
      </c>
      <c r="G10" s="32">
        <f>F10*(1+PARAMETERS!$C$29)</f>
        <v>631.23848000000021</v>
      </c>
      <c r="H10" s="32">
        <f>G10*(1+PARAMETERS!$C$29)</f>
        <v>669.1127888000002</v>
      </c>
      <c r="I10" s="32">
        <f>H10*(1+PARAMETERS!$C$29)</f>
        <v>709.25955612800021</v>
      </c>
      <c r="J10" s="32">
        <f>I10*(1+PARAMETERS!$C$29)</f>
        <v>751.81512949568025</v>
      </c>
      <c r="K10" s="32">
        <f>J10*(1+PARAMETERS!$C$29)</f>
        <v>796.92403726542113</v>
      </c>
      <c r="L10" s="32">
        <f>K10*(1+PARAMETERS!$C$29)</f>
        <v>844.73947950134641</v>
      </c>
      <c r="M10" s="32">
        <f>L10*(1+PARAMETERS!$C$29)</f>
        <v>895.42384827142723</v>
      </c>
      <c r="N10" s="32">
        <f>M10*(1+PARAMETERS!$C$29)</f>
        <v>949.14927916771296</v>
      </c>
      <c r="O10" s="32">
        <f>N10*(1+PARAMETERS!$C$29)</f>
        <v>1006.0982359177758</v>
      </c>
      <c r="P10" s="32">
        <f>O10*(1+PARAMETERS!$C$29)</f>
        <v>1066.4641300728424</v>
      </c>
      <c r="Q10" s="32">
        <f>P10*(1+PARAMETERS!$C$29)</f>
        <v>1130.451977877213</v>
      </c>
      <c r="R10" s="32">
        <f>Q10*(1+PARAMETERS!$C$29)</f>
        <v>1198.2790965498459</v>
      </c>
      <c r="S10" s="33">
        <f t="shared" si="0"/>
        <v>6.0000000000000053E-2</v>
      </c>
      <c r="T10" s="33">
        <f t="shared" si="1"/>
        <v>6.0000000000000053E-2</v>
      </c>
      <c r="U10" s="33">
        <f t="shared" si="2"/>
        <v>6.0000000000000053E-2</v>
      </c>
      <c r="V10" s="34">
        <f t="shared" si="3"/>
        <v>2.396558193099692</v>
      </c>
    </row>
    <row r="11" spans="1:22" x14ac:dyDescent="0.2">
      <c r="A11" s="10" t="s">
        <v>65</v>
      </c>
      <c r="B11" s="35">
        <v>6</v>
      </c>
      <c r="C11" s="36">
        <f>PARAMETERS!$C$18</f>
        <v>7200</v>
      </c>
      <c r="D11" s="36">
        <f>C11*(1+PARAMETERS!$C$30)</f>
        <v>7307.9999999999991</v>
      </c>
      <c r="E11" s="36">
        <f>D11*(1+PARAMETERS!$C$30)</f>
        <v>7417.6199999999981</v>
      </c>
      <c r="F11" s="36">
        <f>E11*(1+PARAMETERS!$C$30)</f>
        <v>7528.884299999997</v>
      </c>
      <c r="G11" s="36">
        <f>F11*(1+PARAMETERS!$C$30)</f>
        <v>7641.8175644999965</v>
      </c>
      <c r="H11" s="36">
        <f>G11*(1+PARAMETERS!$C$30)</f>
        <v>7756.4448279674953</v>
      </c>
      <c r="I11" s="36">
        <f>H11*(1+PARAMETERS!$C$30)</f>
        <v>7872.7915003870066</v>
      </c>
      <c r="J11" s="36">
        <f>I11*(1+PARAMETERS!$C$30)</f>
        <v>7990.8833728928112</v>
      </c>
      <c r="K11" s="36">
        <f>J11*(1+PARAMETERS!$C$30)</f>
        <v>8110.7466234862022</v>
      </c>
      <c r="L11" s="36">
        <f>K11*(1+PARAMETERS!$C$30)</f>
        <v>8232.4078228384951</v>
      </c>
      <c r="M11" s="36">
        <f>L11*(1+PARAMETERS!$C$30)</f>
        <v>8355.8939401810712</v>
      </c>
      <c r="N11" s="36">
        <f>M11*(1+PARAMETERS!$C$30)</f>
        <v>8481.2323492837859</v>
      </c>
      <c r="O11" s="36">
        <f>N11*(1+PARAMETERS!$C$30)</f>
        <v>8608.4508345230424</v>
      </c>
      <c r="P11" s="36">
        <f>O11*(1+PARAMETERS!$C$30)</f>
        <v>8737.5775970408868</v>
      </c>
      <c r="Q11" s="36">
        <f>P11*(1+PARAMETERS!$C$30)</f>
        <v>8868.6412609964991</v>
      </c>
      <c r="R11" s="36">
        <f>Q11*(1+PARAMETERS!$C$30)</f>
        <v>9001.6708799114458</v>
      </c>
      <c r="S11" s="8">
        <f t="shared" si="0"/>
        <v>1.4999999999999902E-2</v>
      </c>
      <c r="T11" s="8">
        <f t="shared" si="1"/>
        <v>1.4999999999999902E-2</v>
      </c>
      <c r="U11" s="8">
        <f t="shared" si="2"/>
        <v>1.4999999999999902E-2</v>
      </c>
      <c r="V11" s="37">
        <f t="shared" si="3"/>
        <v>1.2502320666543674</v>
      </c>
    </row>
    <row r="12" spans="1:22" x14ac:dyDescent="0.2">
      <c r="A12" s="30" t="s">
        <v>68</v>
      </c>
      <c r="B12" s="31">
        <v>7</v>
      </c>
      <c r="C12" s="32">
        <f>PARAMETERS!$C$19</f>
        <v>4000</v>
      </c>
      <c r="D12" s="32">
        <f>C12*(1+PARAMETERS!$C$31)</f>
        <v>4080</v>
      </c>
      <c r="E12" s="32">
        <f>D12*(1+PARAMETERS!$C$31)</f>
        <v>4161.6000000000004</v>
      </c>
      <c r="F12" s="32">
        <f>E12*(1+PARAMETERS!$C$31)</f>
        <v>4244.8320000000003</v>
      </c>
      <c r="G12" s="32">
        <f>F12*(1+PARAMETERS!$C$31)</f>
        <v>4329.7286400000003</v>
      </c>
      <c r="H12" s="32">
        <f>G12*(1+PARAMETERS!$C$31)</f>
        <v>4416.3232128</v>
      </c>
      <c r="I12" s="32">
        <f>H12*(1+PARAMETERS!$C$31)</f>
        <v>4504.6496770559997</v>
      </c>
      <c r="J12" s="32">
        <f>I12*(1+PARAMETERS!$C$31)</f>
        <v>4594.7426705971202</v>
      </c>
      <c r="K12" s="32">
        <f>J12*(1+PARAMETERS!$C$31)</f>
        <v>4686.6375240090629</v>
      </c>
      <c r="L12" s="32">
        <f>K12*(1+PARAMETERS!$C$31)</f>
        <v>4780.3702744892444</v>
      </c>
      <c r="M12" s="32">
        <f>L12*(1+PARAMETERS!$C$31)</f>
        <v>4875.9776799790297</v>
      </c>
      <c r="N12" s="32">
        <f>M12*(1+PARAMETERS!$C$31)</f>
        <v>4973.4972335786106</v>
      </c>
      <c r="O12" s="32">
        <f>N12*(1+PARAMETERS!$C$31)</f>
        <v>5072.9671782501828</v>
      </c>
      <c r="P12" s="32">
        <f>O12*(1+PARAMETERS!$C$31)</f>
        <v>5174.4265218151868</v>
      </c>
      <c r="Q12" s="32">
        <f>P12*(1+PARAMETERS!$C$31)</f>
        <v>5277.915052251491</v>
      </c>
      <c r="R12" s="32">
        <f>Q12*(1+PARAMETERS!$C$31)</f>
        <v>5383.4733532965211</v>
      </c>
      <c r="S12" s="33">
        <f t="shared" si="0"/>
        <v>2.0000000000000018E-2</v>
      </c>
      <c r="T12" s="33">
        <f t="shared" si="1"/>
        <v>2.0000000000000018E-2</v>
      </c>
      <c r="U12" s="33">
        <f t="shared" si="2"/>
        <v>2.0000000000000018E-2</v>
      </c>
      <c r="V12" s="34">
        <f t="shared" si="3"/>
        <v>1.3458683383241303</v>
      </c>
    </row>
    <row r="13" spans="1:22" x14ac:dyDescent="0.2">
      <c r="A13" s="10" t="s">
        <v>70</v>
      </c>
      <c r="B13" s="35">
        <v>8</v>
      </c>
      <c r="C13" s="36">
        <f>PARAMETERS!$C$20</f>
        <v>3000</v>
      </c>
      <c r="D13" s="36">
        <f>C13*(1+PARAMETERS!$C$32)</f>
        <v>3044.9999999999995</v>
      </c>
      <c r="E13" s="36">
        <f>D13*(1+PARAMETERS!$C$32)</f>
        <v>3090.6749999999993</v>
      </c>
      <c r="F13" s="36">
        <f>E13*(1+PARAMETERS!$C$32)</f>
        <v>3137.035124999999</v>
      </c>
      <c r="G13" s="36">
        <f>F13*(1+PARAMETERS!$C$32)</f>
        <v>3184.0906518749985</v>
      </c>
      <c r="H13" s="36">
        <f>G13*(1+PARAMETERS!$C$32)</f>
        <v>3231.8520116531231</v>
      </c>
      <c r="I13" s="36">
        <f>H13*(1+PARAMETERS!$C$32)</f>
        <v>3280.3297918279195</v>
      </c>
      <c r="J13" s="36">
        <f>I13*(1+PARAMETERS!$C$32)</f>
        <v>3329.534738705338</v>
      </c>
      <c r="K13" s="36">
        <f>J13*(1+PARAMETERS!$C$32)</f>
        <v>3379.4777597859179</v>
      </c>
      <c r="L13" s="36">
        <f>K13*(1+PARAMETERS!$C$32)</f>
        <v>3430.1699261827061</v>
      </c>
      <c r="M13" s="36">
        <f>L13*(1+PARAMETERS!$C$32)</f>
        <v>3481.6224750754463</v>
      </c>
      <c r="N13" s="36">
        <f>M13*(1+PARAMETERS!$C$32)</f>
        <v>3533.8468122015779</v>
      </c>
      <c r="O13" s="36">
        <f>N13*(1+PARAMETERS!$C$32)</f>
        <v>3586.8545143846013</v>
      </c>
      <c r="P13" s="36">
        <f>O13*(1+PARAMETERS!$C$32)</f>
        <v>3640.6573321003698</v>
      </c>
      <c r="Q13" s="36">
        <f>P13*(1+PARAMETERS!$C$32)</f>
        <v>3695.2671920818748</v>
      </c>
      <c r="R13" s="36">
        <f>Q13*(1+PARAMETERS!$C$32)</f>
        <v>3750.6961999631026</v>
      </c>
      <c r="S13" s="8">
        <f t="shared" si="0"/>
        <v>1.4999999999999902E-2</v>
      </c>
      <c r="T13" s="8">
        <f t="shared" si="1"/>
        <v>1.4999999999999902E-2</v>
      </c>
      <c r="U13" s="8">
        <f t="shared" si="2"/>
        <v>1.4999999999999902E-2</v>
      </c>
      <c r="V13" s="37">
        <f t="shared" si="3"/>
        <v>1.2502320666543676</v>
      </c>
    </row>
    <row r="14" spans="1:22" x14ac:dyDescent="0.2">
      <c r="A14" s="38" t="s">
        <v>180</v>
      </c>
      <c r="B14" s="39"/>
      <c r="C14" s="40">
        <f t="shared" ref="C14:R14" si="4">SUM(C6:C13)</f>
        <v>26000</v>
      </c>
      <c r="D14" s="40">
        <f t="shared" si="4"/>
        <v>27012</v>
      </c>
      <c r="E14" s="40">
        <f t="shared" si="4"/>
        <v>28082.715</v>
      </c>
      <c r="F14" s="40">
        <f t="shared" si="4"/>
        <v>29216.299274999994</v>
      </c>
      <c r="G14" s="40">
        <f t="shared" si="4"/>
        <v>30417.227968124997</v>
      </c>
      <c r="H14" s="40">
        <f t="shared" si="4"/>
        <v>31690.32304302937</v>
      </c>
      <c r="I14" s="40">
        <f t="shared" si="4"/>
        <v>33040.781396335602</v>
      </c>
      <c r="J14" s="40">
        <f t="shared" si="4"/>
        <v>34474.205313365303</v>
      </c>
      <c r="K14" s="40">
        <f t="shared" si="4"/>
        <v>35996.63546617487</v>
      </c>
      <c r="L14" s="40">
        <f t="shared" si="4"/>
        <v>37614.586670029217</v>
      </c>
      <c r="M14" s="40">
        <f t="shared" si="4"/>
        <v>39335.086633055085</v>
      </c>
      <c r="N14" s="40">
        <f t="shared" si="4"/>
        <v>41165.717954039101</v>
      </c>
      <c r="O14" s="40">
        <f t="shared" si="4"/>
        <v>43114.663645317756</v>
      </c>
      <c r="P14" s="40">
        <f t="shared" si="4"/>
        <v>45190.756481599266</v>
      </c>
      <c r="Q14" s="40">
        <f t="shared" si="4"/>
        <v>47403.532501528927</v>
      </c>
      <c r="R14" s="40">
        <f t="shared" si="4"/>
        <v>49763.289017041432</v>
      </c>
      <c r="S14" s="41">
        <f t="shared" si="0"/>
        <v>4.0376811098100429E-2</v>
      </c>
      <c r="T14" s="41">
        <f t="shared" si="1"/>
        <v>4.4168743959467793E-2</v>
      </c>
      <c r="U14" s="41">
        <f t="shared" si="2"/>
        <v>4.8155682350243145E-2</v>
      </c>
      <c r="V14" s="42">
        <f t="shared" si="3"/>
        <v>1.9139726545015936</v>
      </c>
    </row>
    <row r="16" spans="1:22" x14ac:dyDescent="0.2">
      <c r="A16" s="187" t="s">
        <v>181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</row>
    <row r="17" spans="1:22" x14ac:dyDescent="0.2">
      <c r="A17" s="43" t="s">
        <v>54</v>
      </c>
      <c r="B17" s="9">
        <v>1</v>
      </c>
      <c r="C17" s="14">
        <f>PARAMETERS!$C$13</f>
        <v>5500</v>
      </c>
      <c r="D17" s="14">
        <f>C17*(1+PARAMETERS!$D$25)</f>
        <v>5692.5</v>
      </c>
      <c r="E17" s="14">
        <f>D17*(1+PARAMETERS!$D$25)</f>
        <v>5891.7374999999993</v>
      </c>
      <c r="F17" s="14">
        <f>E17*(1+PARAMETERS!$D$25)</f>
        <v>6097.9483124999988</v>
      </c>
      <c r="G17" s="14">
        <f>F17*(1+PARAMETERS!$D$25)</f>
        <v>6311.3765034374983</v>
      </c>
      <c r="H17" s="14">
        <f>G17*(1+PARAMETERS!$D$25)</f>
        <v>6532.2746810578101</v>
      </c>
      <c r="I17" s="14">
        <f>H17*(1+PARAMETERS!$D$25)</f>
        <v>6760.9042948948327</v>
      </c>
      <c r="J17" s="14">
        <f>I17*(1+PARAMETERS!$D$25)</f>
        <v>6997.535945216151</v>
      </c>
      <c r="K17" s="14">
        <f>J17*(1+PARAMETERS!$D$25)</f>
        <v>7242.4497032987156</v>
      </c>
      <c r="L17" s="14">
        <f>K17*(1+PARAMETERS!$D$25)</f>
        <v>7495.9354429141704</v>
      </c>
      <c r="M17" s="14">
        <f>L17*(1+PARAMETERS!$D$25)</f>
        <v>7758.2931834161654</v>
      </c>
      <c r="N17" s="14">
        <f>M17*(1+PARAMETERS!$D$25)</f>
        <v>8029.8334448357309</v>
      </c>
      <c r="O17" s="14">
        <f>N17*(1+PARAMETERS!$D$25)</f>
        <v>8310.877615404981</v>
      </c>
      <c r="P17" s="14">
        <f>O17*(1+PARAMETERS!$D$25)</f>
        <v>8601.7583319441546</v>
      </c>
      <c r="Q17" s="14">
        <f>P17*(1+PARAMETERS!$D$25)</f>
        <v>8902.8198735621991</v>
      </c>
      <c r="R17" s="14">
        <f>Q17*(1+PARAMETERS!$D$25)</f>
        <v>9214.4185691368748</v>
      </c>
      <c r="S17" s="15">
        <f t="shared" ref="S17:S25" si="5">IF(C17&gt;0,(H17/C17)^(1/5)-1,0)</f>
        <v>3.499999999999992E-2</v>
      </c>
      <c r="T17" s="15">
        <f t="shared" ref="T17:T25" si="6">IF(H17&gt;0,(M17/H17)^(1/5)-1,0)</f>
        <v>3.499999999999992E-2</v>
      </c>
      <c r="U17" s="15">
        <f t="shared" ref="U17:U25" si="7">IF(M17&gt;0,(R17/M17)^(1/5)-1,0)</f>
        <v>3.499999999999992E-2</v>
      </c>
      <c r="V17" s="44">
        <f t="shared" ref="V17:V25" si="8">IF(C17&gt;0,R17/C17,0)</f>
        <v>1.6753488307521591</v>
      </c>
    </row>
    <row r="18" spans="1:22" x14ac:dyDescent="0.2">
      <c r="A18" s="10" t="s">
        <v>57</v>
      </c>
      <c r="B18" s="35">
        <v>2</v>
      </c>
      <c r="C18" s="36">
        <f>PARAMETERS!$C$14</f>
        <v>2800</v>
      </c>
      <c r="D18" s="36">
        <f>C18*(1+PARAMETERS!$D$26)</f>
        <v>2982</v>
      </c>
      <c r="E18" s="36">
        <f>D18*(1+PARAMETERS!$D$26)</f>
        <v>3175.83</v>
      </c>
      <c r="F18" s="36">
        <f>E18*(1+PARAMETERS!$D$26)</f>
        <v>3382.2589499999999</v>
      </c>
      <c r="G18" s="36">
        <f>F18*(1+PARAMETERS!$D$26)</f>
        <v>3602.1057817499996</v>
      </c>
      <c r="H18" s="36">
        <f>G18*(1+PARAMETERS!$D$26)</f>
        <v>3836.2426575637492</v>
      </c>
      <c r="I18" s="36">
        <f>H18*(1+PARAMETERS!$D$26)</f>
        <v>4085.5984303053929</v>
      </c>
      <c r="J18" s="36">
        <f>I18*(1+PARAMETERS!$D$26)</f>
        <v>4351.1623282752435</v>
      </c>
      <c r="K18" s="36">
        <f>J18*(1+PARAMETERS!$D$26)</f>
        <v>4633.9878796131343</v>
      </c>
      <c r="L18" s="36">
        <f>K18*(1+PARAMETERS!$D$26)</f>
        <v>4935.197091787988</v>
      </c>
      <c r="M18" s="36">
        <f>L18*(1+PARAMETERS!$D$26)</f>
        <v>5255.9849027542068</v>
      </c>
      <c r="N18" s="36">
        <f>M18*(1+PARAMETERS!$D$26)</f>
        <v>5597.62392143323</v>
      </c>
      <c r="O18" s="36">
        <f>N18*(1+PARAMETERS!$D$26)</f>
        <v>5961.4694763263897</v>
      </c>
      <c r="P18" s="36">
        <f>O18*(1+PARAMETERS!$D$26)</f>
        <v>6348.9649922876051</v>
      </c>
      <c r="Q18" s="36">
        <f>P18*(1+PARAMETERS!$D$26)</f>
        <v>6761.6477167862995</v>
      </c>
      <c r="R18" s="36">
        <f>Q18*(1+PARAMETERS!$D$26)</f>
        <v>7201.1548183774084</v>
      </c>
      <c r="S18" s="8">
        <f t="shared" si="5"/>
        <v>6.4999999999999947E-2</v>
      </c>
      <c r="T18" s="8">
        <f t="shared" si="6"/>
        <v>6.4999999999999947E-2</v>
      </c>
      <c r="U18" s="8">
        <f t="shared" si="7"/>
        <v>6.4999999999999947E-2</v>
      </c>
      <c r="V18" s="37">
        <f t="shared" si="8"/>
        <v>2.5718410065633601</v>
      </c>
    </row>
    <row r="19" spans="1:22" x14ac:dyDescent="0.2">
      <c r="A19" s="43" t="s">
        <v>59</v>
      </c>
      <c r="B19" s="9">
        <v>3</v>
      </c>
      <c r="C19" s="14">
        <f>PARAMETERS!$C$15</f>
        <v>1800</v>
      </c>
      <c r="D19" s="14">
        <f>C19*(1+PARAMETERS!$D$27)</f>
        <v>1908</v>
      </c>
      <c r="E19" s="14">
        <f>D19*(1+PARAMETERS!$D$27)</f>
        <v>2022.48</v>
      </c>
      <c r="F19" s="14">
        <f>E19*(1+PARAMETERS!$D$27)</f>
        <v>2143.8288000000002</v>
      </c>
      <c r="G19" s="14">
        <f>F19*(1+PARAMETERS!$D$27)</f>
        <v>2272.4585280000006</v>
      </c>
      <c r="H19" s="14">
        <f>G19*(1+PARAMETERS!$D$27)</f>
        <v>2408.8060396800006</v>
      </c>
      <c r="I19" s="14">
        <f>H19*(1+PARAMETERS!$D$27)</f>
        <v>2553.3344020608006</v>
      </c>
      <c r="J19" s="14">
        <f>I19*(1+PARAMETERS!$D$27)</f>
        <v>2706.5344661844488</v>
      </c>
      <c r="K19" s="14">
        <f>J19*(1+PARAMETERS!$D$27)</f>
        <v>2868.926534155516</v>
      </c>
      <c r="L19" s="14">
        <f>K19*(1+PARAMETERS!$D$27)</f>
        <v>3041.0621262048471</v>
      </c>
      <c r="M19" s="14">
        <f>L19*(1+PARAMETERS!$D$27)</f>
        <v>3223.5258537771383</v>
      </c>
      <c r="N19" s="14">
        <f>M19*(1+PARAMETERS!$D$27)</f>
        <v>3416.9374050037668</v>
      </c>
      <c r="O19" s="14">
        <f>N19*(1+PARAMETERS!$D$27)</f>
        <v>3621.9536493039932</v>
      </c>
      <c r="P19" s="14">
        <f>O19*(1+PARAMETERS!$D$27)</f>
        <v>3839.2708682622329</v>
      </c>
      <c r="Q19" s="14">
        <f>P19*(1+PARAMETERS!$D$27)</f>
        <v>4069.6271203579672</v>
      </c>
      <c r="R19" s="14">
        <f>Q19*(1+PARAMETERS!$D$27)</f>
        <v>4313.8047475794456</v>
      </c>
      <c r="S19" s="15">
        <f t="shared" si="5"/>
        <v>6.0000000000000053E-2</v>
      </c>
      <c r="T19" s="15">
        <f t="shared" si="6"/>
        <v>6.0000000000000053E-2</v>
      </c>
      <c r="U19" s="15">
        <f t="shared" si="7"/>
        <v>6.0000000000000053E-2</v>
      </c>
      <c r="V19" s="44">
        <f t="shared" si="8"/>
        <v>2.396558193099692</v>
      </c>
    </row>
    <row r="20" spans="1:22" x14ac:dyDescent="0.2">
      <c r="A20" s="10" t="s">
        <v>61</v>
      </c>
      <c r="B20" s="35">
        <v>4</v>
      </c>
      <c r="C20" s="36">
        <f>PARAMETERS!$C$16</f>
        <v>1200</v>
      </c>
      <c r="D20" s="36">
        <f>C20*(1+PARAMETERS!$D$28)</f>
        <v>1260</v>
      </c>
      <c r="E20" s="36">
        <f>D20*(1+PARAMETERS!$D$28)</f>
        <v>1323</v>
      </c>
      <c r="F20" s="36">
        <f>E20*(1+PARAMETERS!$D$28)</f>
        <v>1389.15</v>
      </c>
      <c r="G20" s="36">
        <f>F20*(1+PARAMETERS!$D$28)</f>
        <v>1458.6075000000001</v>
      </c>
      <c r="H20" s="36">
        <f>G20*(1+PARAMETERS!$D$28)</f>
        <v>1531.5378750000002</v>
      </c>
      <c r="I20" s="36">
        <f>H20*(1+PARAMETERS!$D$28)</f>
        <v>1608.1147687500004</v>
      </c>
      <c r="J20" s="36">
        <f>I20*(1+PARAMETERS!$D$28)</f>
        <v>1688.5205071875005</v>
      </c>
      <c r="K20" s="36">
        <f>J20*(1+PARAMETERS!$D$28)</f>
        <v>1772.9465325468755</v>
      </c>
      <c r="L20" s="36">
        <f>K20*(1+PARAMETERS!$D$28)</f>
        <v>1861.5938591742192</v>
      </c>
      <c r="M20" s="36">
        <f>L20*(1+PARAMETERS!$D$28)</f>
        <v>1954.6735521329304</v>
      </c>
      <c r="N20" s="36">
        <f>M20*(1+PARAMETERS!$D$28)</f>
        <v>2052.4072297395769</v>
      </c>
      <c r="O20" s="36">
        <f>N20*(1+PARAMETERS!$D$28)</f>
        <v>2155.0275912265561</v>
      </c>
      <c r="P20" s="36">
        <f>O20*(1+PARAMETERS!$D$28)</f>
        <v>2262.7789707878842</v>
      </c>
      <c r="Q20" s="36">
        <f>P20*(1+PARAMETERS!$D$28)</f>
        <v>2375.9179193272785</v>
      </c>
      <c r="R20" s="36">
        <f>Q20*(1+PARAMETERS!$D$28)</f>
        <v>2494.7138152936427</v>
      </c>
      <c r="S20" s="8">
        <f t="shared" si="5"/>
        <v>5.0000000000000044E-2</v>
      </c>
      <c r="T20" s="8">
        <f t="shared" si="6"/>
        <v>5.0000000000000044E-2</v>
      </c>
      <c r="U20" s="8">
        <f t="shared" si="7"/>
        <v>5.0000000000000044E-2</v>
      </c>
      <c r="V20" s="37">
        <f t="shared" si="8"/>
        <v>2.0789281794113688</v>
      </c>
    </row>
    <row r="21" spans="1:22" x14ac:dyDescent="0.2">
      <c r="A21" s="43" t="s">
        <v>63</v>
      </c>
      <c r="B21" s="9">
        <v>5</v>
      </c>
      <c r="C21" s="14">
        <f>PARAMETERS!$C$17</f>
        <v>500</v>
      </c>
      <c r="D21" s="14">
        <f>C21*(1+PARAMETERS!$D$29)</f>
        <v>520</v>
      </c>
      <c r="E21" s="14">
        <f>D21*(1+PARAMETERS!$D$29)</f>
        <v>540.80000000000007</v>
      </c>
      <c r="F21" s="14">
        <f>E21*(1+PARAMETERS!$D$29)</f>
        <v>562.43200000000013</v>
      </c>
      <c r="G21" s="14">
        <f>F21*(1+PARAMETERS!$D$29)</f>
        <v>584.92928000000018</v>
      </c>
      <c r="H21" s="14">
        <f>G21*(1+PARAMETERS!$D$29)</f>
        <v>608.32645120000018</v>
      </c>
      <c r="I21" s="14">
        <f>H21*(1+PARAMETERS!$D$29)</f>
        <v>632.65950924800018</v>
      </c>
      <c r="J21" s="14">
        <f>I21*(1+PARAMETERS!$D$29)</f>
        <v>657.9658896179202</v>
      </c>
      <c r="K21" s="14">
        <f>J21*(1+PARAMETERS!$D$29)</f>
        <v>684.28452520263704</v>
      </c>
      <c r="L21" s="14">
        <f>K21*(1+PARAMETERS!$D$29)</f>
        <v>711.6559062107425</v>
      </c>
      <c r="M21" s="14">
        <f>L21*(1+PARAMETERS!$D$29)</f>
        <v>740.12214245917221</v>
      </c>
      <c r="N21" s="14">
        <f>M21*(1+PARAMETERS!$D$29)</f>
        <v>769.72702815753917</v>
      </c>
      <c r="O21" s="14">
        <f>N21*(1+PARAMETERS!$D$29)</f>
        <v>800.51610928384071</v>
      </c>
      <c r="P21" s="14">
        <f>O21*(1+PARAMETERS!$D$29)</f>
        <v>832.53675365519439</v>
      </c>
      <c r="Q21" s="14">
        <f>P21*(1+PARAMETERS!$D$29)</f>
        <v>865.83822380140225</v>
      </c>
      <c r="R21" s="14">
        <f>Q21*(1+PARAMETERS!$D$29)</f>
        <v>900.47175275345842</v>
      </c>
      <c r="S21" s="15">
        <f t="shared" si="5"/>
        <v>4.0000000000000036E-2</v>
      </c>
      <c r="T21" s="15">
        <f t="shared" si="6"/>
        <v>4.0000000000000036E-2</v>
      </c>
      <c r="U21" s="15">
        <f t="shared" si="7"/>
        <v>4.0000000000000036E-2</v>
      </c>
      <c r="V21" s="44">
        <f t="shared" si="8"/>
        <v>1.8009435055069167</v>
      </c>
    </row>
    <row r="22" spans="1:22" x14ac:dyDescent="0.2">
      <c r="A22" s="10" t="s">
        <v>65</v>
      </c>
      <c r="B22" s="35">
        <v>6</v>
      </c>
      <c r="C22" s="36">
        <f>PARAMETERS!$C$18</f>
        <v>7200</v>
      </c>
      <c r="D22" s="36">
        <f>C22*(1+PARAMETERS!$D$30)</f>
        <v>7257.6</v>
      </c>
      <c r="E22" s="36">
        <f>D22*(1+PARAMETERS!$D$30)</f>
        <v>7315.6608000000006</v>
      </c>
      <c r="F22" s="36">
        <f>E22*(1+PARAMETERS!$D$30)</f>
        <v>7374.1860864000009</v>
      </c>
      <c r="G22" s="36">
        <f>F22*(1+PARAMETERS!$D$30)</f>
        <v>7433.1795750912006</v>
      </c>
      <c r="H22" s="36">
        <f>G22*(1+PARAMETERS!$D$30)</f>
        <v>7492.6450116919304</v>
      </c>
      <c r="I22" s="36">
        <f>H22*(1+PARAMETERS!$D$30)</f>
        <v>7552.5861717854659</v>
      </c>
      <c r="J22" s="36">
        <f>I22*(1+PARAMETERS!$D$30)</f>
        <v>7613.0068611597499</v>
      </c>
      <c r="K22" s="36">
        <f>J22*(1+PARAMETERS!$D$30)</f>
        <v>7673.9109160490279</v>
      </c>
      <c r="L22" s="36">
        <f>K22*(1+PARAMETERS!$D$30)</f>
        <v>7735.3022033774205</v>
      </c>
      <c r="M22" s="36">
        <f>L22*(1+PARAMETERS!$D$30)</f>
        <v>7797.1846210044396</v>
      </c>
      <c r="N22" s="36">
        <f>M22*(1+PARAMETERS!$D$30)</f>
        <v>7859.5620979724754</v>
      </c>
      <c r="O22" s="36">
        <f>N22*(1+PARAMETERS!$D$30)</f>
        <v>7922.438594756255</v>
      </c>
      <c r="P22" s="36">
        <f>O22*(1+PARAMETERS!$D$30)</f>
        <v>7985.8181035143052</v>
      </c>
      <c r="Q22" s="36">
        <f>P22*(1+PARAMETERS!$D$30)</f>
        <v>8049.7046483424201</v>
      </c>
      <c r="R22" s="36">
        <f>Q22*(1+PARAMETERS!$D$30)</f>
        <v>8114.1022855291594</v>
      </c>
      <c r="S22" s="8">
        <f t="shared" si="5"/>
        <v>8.0000000000000071E-3</v>
      </c>
      <c r="T22" s="8">
        <f t="shared" si="6"/>
        <v>8.0000000000000071E-3</v>
      </c>
      <c r="U22" s="8">
        <f t="shared" si="7"/>
        <v>8.0000000000000071E-3</v>
      </c>
      <c r="V22" s="37">
        <f t="shared" si="8"/>
        <v>1.1269586507679388</v>
      </c>
    </row>
    <row r="23" spans="1:22" x14ac:dyDescent="0.2">
      <c r="A23" s="43" t="s">
        <v>68</v>
      </c>
      <c r="B23" s="9">
        <v>7</v>
      </c>
      <c r="C23" s="14">
        <f>PARAMETERS!$C$19</f>
        <v>4000</v>
      </c>
      <c r="D23" s="14">
        <f>C23*(1+PARAMETERS!$D$31)</f>
        <v>4048</v>
      </c>
      <c r="E23" s="14">
        <f>D23*(1+PARAMETERS!$D$31)</f>
        <v>4096.576</v>
      </c>
      <c r="F23" s="14">
        <f>E23*(1+PARAMETERS!$D$31)</f>
        <v>4145.7349119999999</v>
      </c>
      <c r="G23" s="14">
        <f>F23*(1+PARAMETERS!$D$31)</f>
        <v>4195.4837309439999</v>
      </c>
      <c r="H23" s="14">
        <f>G23*(1+PARAMETERS!$D$31)</f>
        <v>4245.8295357153283</v>
      </c>
      <c r="I23" s="14">
        <f>H23*(1+PARAMETERS!$D$31)</f>
        <v>4296.779490143912</v>
      </c>
      <c r="J23" s="14">
        <f>I23*(1+PARAMETERS!$D$31)</f>
        <v>4348.3408440256389</v>
      </c>
      <c r="K23" s="14">
        <f>J23*(1+PARAMETERS!$D$31)</f>
        <v>4400.5209341539467</v>
      </c>
      <c r="L23" s="14">
        <f>K23*(1+PARAMETERS!$D$31)</f>
        <v>4453.3271853637943</v>
      </c>
      <c r="M23" s="14">
        <f>L23*(1+PARAMETERS!$D$31)</f>
        <v>4506.7671115881603</v>
      </c>
      <c r="N23" s="14">
        <f>M23*(1+PARAMETERS!$D$31)</f>
        <v>4560.8483169272185</v>
      </c>
      <c r="O23" s="14">
        <f>N23*(1+PARAMETERS!$D$31)</f>
        <v>4615.5784967303453</v>
      </c>
      <c r="P23" s="14">
        <f>O23*(1+PARAMETERS!$D$31)</f>
        <v>4670.9654386911097</v>
      </c>
      <c r="Q23" s="14">
        <f>P23*(1+PARAMETERS!$D$31)</f>
        <v>4727.0170239554027</v>
      </c>
      <c r="R23" s="14">
        <f>Q23*(1+PARAMETERS!$D$31)</f>
        <v>4783.7412282428677</v>
      </c>
      <c r="S23" s="15">
        <f t="shared" si="5"/>
        <v>1.2000000000000011E-2</v>
      </c>
      <c r="T23" s="15">
        <f t="shared" si="6"/>
        <v>1.2000000000000011E-2</v>
      </c>
      <c r="U23" s="15">
        <f t="shared" si="7"/>
        <v>1.2000000000000011E-2</v>
      </c>
      <c r="V23" s="44">
        <f t="shared" si="8"/>
        <v>1.1959353070607168</v>
      </c>
    </row>
    <row r="24" spans="1:22" x14ac:dyDescent="0.2">
      <c r="A24" s="10" t="s">
        <v>70</v>
      </c>
      <c r="B24" s="35">
        <v>8</v>
      </c>
      <c r="C24" s="36">
        <f>PARAMETERS!$C$20</f>
        <v>3000</v>
      </c>
      <c r="D24" s="36">
        <f>C24*(1+PARAMETERS!$D$32)</f>
        <v>3030</v>
      </c>
      <c r="E24" s="36">
        <f>D24*(1+PARAMETERS!$D$32)</f>
        <v>3060.3</v>
      </c>
      <c r="F24" s="36">
        <f>E24*(1+PARAMETERS!$D$32)</f>
        <v>3090.9030000000002</v>
      </c>
      <c r="G24" s="36">
        <f>F24*(1+PARAMETERS!$D$32)</f>
        <v>3121.8120300000005</v>
      </c>
      <c r="H24" s="36">
        <f>G24*(1+PARAMETERS!$D$32)</f>
        <v>3153.0301503000005</v>
      </c>
      <c r="I24" s="36">
        <f>H24*(1+PARAMETERS!$D$32)</f>
        <v>3184.5604518030004</v>
      </c>
      <c r="J24" s="36">
        <f>I24*(1+PARAMETERS!$D$32)</f>
        <v>3216.4060563210305</v>
      </c>
      <c r="K24" s="36">
        <f>J24*(1+PARAMETERS!$D$32)</f>
        <v>3248.5701168842406</v>
      </c>
      <c r="L24" s="36">
        <f>K24*(1+PARAMETERS!$D$32)</f>
        <v>3281.0558180530829</v>
      </c>
      <c r="M24" s="36">
        <f>L24*(1+PARAMETERS!$D$32)</f>
        <v>3313.8663762336137</v>
      </c>
      <c r="N24" s="36">
        <f>M24*(1+PARAMETERS!$D$32)</f>
        <v>3347.00503999595</v>
      </c>
      <c r="O24" s="36">
        <f>N24*(1+PARAMETERS!$D$32)</f>
        <v>3380.4750903959098</v>
      </c>
      <c r="P24" s="36">
        <f>O24*(1+PARAMETERS!$D$32)</f>
        <v>3414.2798412998691</v>
      </c>
      <c r="Q24" s="36">
        <f>P24*(1+PARAMETERS!$D$32)</f>
        <v>3448.4226397128677</v>
      </c>
      <c r="R24" s="36">
        <f>Q24*(1+PARAMETERS!$D$32)</f>
        <v>3482.9068661099964</v>
      </c>
      <c r="S24" s="8">
        <f t="shared" si="5"/>
        <v>1.0000000000000009E-2</v>
      </c>
      <c r="T24" s="8">
        <f t="shared" si="6"/>
        <v>1.0000000000000009E-2</v>
      </c>
      <c r="U24" s="8">
        <f t="shared" si="7"/>
        <v>1.0000000000000009E-2</v>
      </c>
      <c r="V24" s="37">
        <f t="shared" si="8"/>
        <v>1.1609689553699989</v>
      </c>
    </row>
    <row r="25" spans="1:22" x14ac:dyDescent="0.2">
      <c r="A25" s="45" t="s">
        <v>182</v>
      </c>
      <c r="B25" s="46"/>
      <c r="C25" s="47">
        <f t="shared" ref="C25:R25" si="9">SUM(C17:C24)</f>
        <v>26000</v>
      </c>
      <c r="D25" s="47">
        <f t="shared" si="9"/>
        <v>26698.1</v>
      </c>
      <c r="E25" s="47">
        <f t="shared" si="9"/>
        <v>27426.384299999998</v>
      </c>
      <c r="F25" s="47">
        <f t="shared" si="9"/>
        <v>28186.442060900001</v>
      </c>
      <c r="G25" s="47">
        <f t="shared" si="9"/>
        <v>28979.952929222702</v>
      </c>
      <c r="H25" s="47">
        <f t="shared" si="9"/>
        <v>29808.692402208821</v>
      </c>
      <c r="I25" s="47">
        <f t="shared" si="9"/>
        <v>30674.537518991405</v>
      </c>
      <c r="J25" s="47">
        <f t="shared" si="9"/>
        <v>31579.472897987682</v>
      </c>
      <c r="K25" s="47">
        <f t="shared" si="9"/>
        <v>32525.597141904094</v>
      </c>
      <c r="L25" s="47">
        <f t="shared" si="9"/>
        <v>33515.129633086268</v>
      </c>
      <c r="M25" s="47">
        <f t="shared" si="9"/>
        <v>34550.417743365826</v>
      </c>
      <c r="N25" s="47">
        <f t="shared" si="9"/>
        <v>35633.944484065483</v>
      </c>
      <c r="O25" s="47">
        <f t="shared" si="9"/>
        <v>36768.336623428273</v>
      </c>
      <c r="P25" s="47">
        <f t="shared" si="9"/>
        <v>37956.373300442356</v>
      </c>
      <c r="Q25" s="47">
        <f t="shared" si="9"/>
        <v>39200.99516584583</v>
      </c>
      <c r="R25" s="47">
        <f t="shared" si="9"/>
        <v>40505.314083022851</v>
      </c>
      <c r="S25" s="48">
        <f t="shared" si="5"/>
        <v>2.7717887492258342E-2</v>
      </c>
      <c r="T25" s="48">
        <f t="shared" si="6"/>
        <v>2.9964071669366987E-2</v>
      </c>
      <c r="U25" s="48">
        <f t="shared" si="7"/>
        <v>3.2313817193355687E-2</v>
      </c>
      <c r="V25" s="49">
        <f t="shared" si="8"/>
        <v>1.5578966955008788</v>
      </c>
    </row>
    <row r="27" spans="1:22" x14ac:dyDescent="0.2">
      <c r="A27" s="194" t="s">
        <v>183</v>
      </c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</row>
    <row r="28" spans="1:22" x14ac:dyDescent="0.2">
      <c r="A28" s="50" t="s">
        <v>54</v>
      </c>
      <c r="B28" s="12">
        <v>1</v>
      </c>
      <c r="C28" s="51">
        <f>PARAMETERS!$C$13</f>
        <v>5500</v>
      </c>
      <c r="D28" s="51">
        <f>C28*(1+PARAMETERS!$E$25)</f>
        <v>5599</v>
      </c>
      <c r="E28" s="51">
        <f>D28*(1+PARAMETERS!$E$25)</f>
        <v>5699.7820000000002</v>
      </c>
      <c r="F28" s="51">
        <f>E28*(1+PARAMETERS!$E$25)</f>
        <v>5802.378076</v>
      </c>
      <c r="G28" s="51">
        <f>F28*(1+PARAMETERS!$E$25)</f>
        <v>5906.8208813680003</v>
      </c>
      <c r="H28" s="51">
        <f>G28*(1+PARAMETERS!$E$25)</f>
        <v>6013.1436572326247</v>
      </c>
      <c r="I28" s="51">
        <f>H28*(1+PARAMETERS!$E$25)</f>
        <v>6121.380243062812</v>
      </c>
      <c r="J28" s="51">
        <f>I28*(1+PARAMETERS!$E$25)</f>
        <v>6231.5650874379426</v>
      </c>
      <c r="K28" s="51">
        <f>J28*(1+PARAMETERS!$E$25)</f>
        <v>6343.7332590118258</v>
      </c>
      <c r="L28" s="51">
        <f>K28*(1+PARAMETERS!$E$25)</f>
        <v>6457.9204576740385</v>
      </c>
      <c r="M28" s="51">
        <f>L28*(1+PARAMETERS!$E$25)</f>
        <v>6574.1630259121712</v>
      </c>
      <c r="N28" s="51">
        <f>M28*(1+PARAMETERS!$E$25)</f>
        <v>6692.4979603785905</v>
      </c>
      <c r="O28" s="51">
        <f>N28*(1+PARAMETERS!$E$25)</f>
        <v>6812.9629236654055</v>
      </c>
      <c r="P28" s="51">
        <f>O28*(1+PARAMETERS!$E$25)</f>
        <v>6935.5962562913828</v>
      </c>
      <c r="Q28" s="51">
        <f>P28*(1+PARAMETERS!$E$25)</f>
        <v>7060.4369889046275</v>
      </c>
      <c r="R28" s="51">
        <f>Q28*(1+PARAMETERS!$E$25)</f>
        <v>7187.5248547049105</v>
      </c>
      <c r="S28" s="52">
        <f t="shared" ref="S28:S36" si="10">IF(C28&gt;0,(H28/C28)^(1/5)-1,0)</f>
        <v>1.8000000000000016E-2</v>
      </c>
      <c r="T28" s="52">
        <f t="shared" ref="T28:T36" si="11">IF(H28&gt;0,(M28/H28)^(1/5)-1,0)</f>
        <v>1.8000000000000016E-2</v>
      </c>
      <c r="U28" s="52">
        <f t="shared" ref="U28:U36" si="12">IF(M28&gt;0,(R28/M28)^(1/5)-1,0)</f>
        <v>1.8000000000000016E-2</v>
      </c>
      <c r="V28" s="53">
        <f t="shared" ref="V28:V36" si="13">IF(C28&gt;0,R28/C28,0)</f>
        <v>1.3068227008554383</v>
      </c>
    </row>
    <row r="29" spans="1:22" x14ac:dyDescent="0.2">
      <c r="A29" s="10" t="s">
        <v>57</v>
      </c>
      <c r="B29" s="35">
        <v>2</v>
      </c>
      <c r="C29" s="36">
        <f>PARAMETERS!$C$14</f>
        <v>2800</v>
      </c>
      <c r="D29" s="36">
        <f>C29*(1+PARAMETERS!$E$26)</f>
        <v>2912</v>
      </c>
      <c r="E29" s="36">
        <f>D29*(1+PARAMETERS!$E$26)</f>
        <v>3028.48</v>
      </c>
      <c r="F29" s="36">
        <f>E29*(1+PARAMETERS!$E$26)</f>
        <v>3149.6192000000001</v>
      </c>
      <c r="G29" s="36">
        <f>F29*(1+PARAMETERS!$E$26)</f>
        <v>3275.6039680000004</v>
      </c>
      <c r="H29" s="36">
        <f>G29*(1+PARAMETERS!$E$26)</f>
        <v>3406.6281267200006</v>
      </c>
      <c r="I29" s="36">
        <f>H29*(1+PARAMETERS!$E$26)</f>
        <v>3542.8932517888006</v>
      </c>
      <c r="J29" s="36">
        <f>I29*(1+PARAMETERS!$E$26)</f>
        <v>3684.6089818603527</v>
      </c>
      <c r="K29" s="36">
        <f>J29*(1+PARAMETERS!$E$26)</f>
        <v>3831.993341134767</v>
      </c>
      <c r="L29" s="36">
        <f>K29*(1+PARAMETERS!$E$26)</f>
        <v>3985.2730747801579</v>
      </c>
      <c r="M29" s="36">
        <f>L29*(1+PARAMETERS!$E$26)</f>
        <v>4144.6839977713644</v>
      </c>
      <c r="N29" s="36">
        <f>M29*(1+PARAMETERS!$E$26)</f>
        <v>4310.4713576822187</v>
      </c>
      <c r="O29" s="36">
        <f>N29*(1+PARAMETERS!$E$26)</f>
        <v>4482.8902119895074</v>
      </c>
      <c r="P29" s="36">
        <f>O29*(1+PARAMETERS!$E$26)</f>
        <v>4662.2058204690875</v>
      </c>
      <c r="Q29" s="36">
        <f>P29*(1+PARAMETERS!$E$26)</f>
        <v>4848.6940532878516</v>
      </c>
      <c r="R29" s="36">
        <f>Q29*(1+PARAMETERS!$E$26)</f>
        <v>5042.6418154193661</v>
      </c>
      <c r="S29" s="8">
        <f t="shared" si="10"/>
        <v>4.0000000000000036E-2</v>
      </c>
      <c r="T29" s="8">
        <f t="shared" si="11"/>
        <v>4.0000000000000036E-2</v>
      </c>
      <c r="U29" s="8">
        <f t="shared" si="12"/>
        <v>4.0000000000000036E-2</v>
      </c>
      <c r="V29" s="37">
        <f t="shared" si="13"/>
        <v>1.8009435055069165</v>
      </c>
    </row>
    <row r="30" spans="1:22" x14ac:dyDescent="0.2">
      <c r="A30" s="50" t="s">
        <v>59</v>
      </c>
      <c r="B30" s="12">
        <v>3</v>
      </c>
      <c r="C30" s="51">
        <f>PARAMETERS!$C$15</f>
        <v>1800</v>
      </c>
      <c r="D30" s="51">
        <f>C30*(1+PARAMETERS!$E$27)</f>
        <v>1868.4</v>
      </c>
      <c r="E30" s="51">
        <f>D30*(1+PARAMETERS!$E$27)</f>
        <v>1939.3992000000001</v>
      </c>
      <c r="F30" s="51">
        <f>E30*(1+PARAMETERS!$E$27)</f>
        <v>2013.0963696000001</v>
      </c>
      <c r="G30" s="51">
        <f>F30*(1+PARAMETERS!$E$27)</f>
        <v>2089.5940316448</v>
      </c>
      <c r="H30" s="51">
        <f>G30*(1+PARAMETERS!$E$27)</f>
        <v>2168.9986048473024</v>
      </c>
      <c r="I30" s="51">
        <f>H30*(1+PARAMETERS!$E$27)</f>
        <v>2251.4205518314998</v>
      </c>
      <c r="J30" s="51">
        <f>I30*(1+PARAMETERS!$E$27)</f>
        <v>2336.9745328010968</v>
      </c>
      <c r="K30" s="51">
        <f>J30*(1+PARAMETERS!$E$27)</f>
        <v>2425.7795650475387</v>
      </c>
      <c r="L30" s="51">
        <f>K30*(1+PARAMETERS!$E$27)</f>
        <v>2517.9591885193454</v>
      </c>
      <c r="M30" s="51">
        <f>L30*(1+PARAMETERS!$E$27)</f>
        <v>2613.6416376830807</v>
      </c>
      <c r="N30" s="51">
        <f>M30*(1+PARAMETERS!$E$27)</f>
        <v>2712.9600199150377</v>
      </c>
      <c r="O30" s="51">
        <f>N30*(1+PARAMETERS!$E$27)</f>
        <v>2816.0525006718094</v>
      </c>
      <c r="P30" s="51">
        <f>O30*(1+PARAMETERS!$E$27)</f>
        <v>2923.0624956973384</v>
      </c>
      <c r="Q30" s="51">
        <f>P30*(1+PARAMETERS!$E$27)</f>
        <v>3034.1388705338372</v>
      </c>
      <c r="R30" s="51">
        <f>Q30*(1+PARAMETERS!$E$27)</f>
        <v>3149.436147614123</v>
      </c>
      <c r="S30" s="52">
        <f t="shared" si="10"/>
        <v>3.8000000000000034E-2</v>
      </c>
      <c r="T30" s="52">
        <f t="shared" si="11"/>
        <v>3.8000000000000034E-2</v>
      </c>
      <c r="U30" s="52">
        <f t="shared" si="12"/>
        <v>3.8000000000000034E-2</v>
      </c>
      <c r="V30" s="53">
        <f t="shared" si="13"/>
        <v>1.7496867486745127</v>
      </c>
    </row>
    <row r="31" spans="1:22" x14ac:dyDescent="0.2">
      <c r="A31" s="10" t="s">
        <v>61</v>
      </c>
      <c r="B31" s="35">
        <v>4</v>
      </c>
      <c r="C31" s="36">
        <f>PARAMETERS!$C$16</f>
        <v>1200</v>
      </c>
      <c r="D31" s="36">
        <f>C31*(1+PARAMETERS!$E$28)</f>
        <v>1236</v>
      </c>
      <c r="E31" s="36">
        <f>D31*(1+PARAMETERS!$E$28)</f>
        <v>1273.08</v>
      </c>
      <c r="F31" s="36">
        <f>E31*(1+PARAMETERS!$E$28)</f>
        <v>1311.2724000000001</v>
      </c>
      <c r="G31" s="36">
        <f>F31*(1+PARAMETERS!$E$28)</f>
        <v>1350.610572</v>
      </c>
      <c r="H31" s="36">
        <f>G31*(1+PARAMETERS!$E$28)</f>
        <v>1391.12888916</v>
      </c>
      <c r="I31" s="36">
        <f>H31*(1+PARAMETERS!$E$28)</f>
        <v>1432.8627558348001</v>
      </c>
      <c r="J31" s="36">
        <f>I31*(1+PARAMETERS!$E$28)</f>
        <v>1475.848638509844</v>
      </c>
      <c r="K31" s="36">
        <f>J31*(1+PARAMETERS!$E$28)</f>
        <v>1520.1240976651393</v>
      </c>
      <c r="L31" s="36">
        <f>K31*(1+PARAMETERS!$E$28)</f>
        <v>1565.7278205950936</v>
      </c>
      <c r="M31" s="36">
        <f>L31*(1+PARAMETERS!$E$28)</f>
        <v>1612.6996552129465</v>
      </c>
      <c r="N31" s="36">
        <f>M31*(1+PARAMETERS!$E$28)</f>
        <v>1661.0806448693349</v>
      </c>
      <c r="O31" s="36">
        <f>N31*(1+PARAMETERS!$E$28)</f>
        <v>1710.913064215415</v>
      </c>
      <c r="P31" s="36">
        <f>O31*(1+PARAMETERS!$E$28)</f>
        <v>1762.2404561418775</v>
      </c>
      <c r="Q31" s="36">
        <f>P31*(1+PARAMETERS!$E$28)</f>
        <v>1815.1076698261338</v>
      </c>
      <c r="R31" s="36">
        <f>Q31*(1+PARAMETERS!$E$28)</f>
        <v>1869.5608999209178</v>
      </c>
      <c r="S31" s="8">
        <f t="shared" si="10"/>
        <v>3.0000000000000027E-2</v>
      </c>
      <c r="T31" s="8">
        <f t="shared" si="11"/>
        <v>3.0000000000000027E-2</v>
      </c>
      <c r="U31" s="8">
        <f t="shared" si="12"/>
        <v>3.0000000000000027E-2</v>
      </c>
      <c r="V31" s="37">
        <f t="shared" si="13"/>
        <v>1.5579674166007649</v>
      </c>
    </row>
    <row r="32" spans="1:22" x14ac:dyDescent="0.2">
      <c r="A32" s="50" t="s">
        <v>63</v>
      </c>
      <c r="B32" s="12">
        <v>5</v>
      </c>
      <c r="C32" s="51">
        <f>PARAMETERS!$C$17</f>
        <v>500</v>
      </c>
      <c r="D32" s="51">
        <f>C32*(1+PARAMETERS!$E$29)</f>
        <v>512.5</v>
      </c>
      <c r="E32" s="51">
        <f>D32*(1+PARAMETERS!$E$29)</f>
        <v>525.3125</v>
      </c>
      <c r="F32" s="51">
        <f>E32*(1+PARAMETERS!$E$29)</f>
        <v>538.4453125</v>
      </c>
      <c r="G32" s="51">
        <f>F32*(1+PARAMETERS!$E$29)</f>
        <v>551.90644531249995</v>
      </c>
      <c r="H32" s="51">
        <f>G32*(1+PARAMETERS!$E$29)</f>
        <v>565.70410644531239</v>
      </c>
      <c r="I32" s="51">
        <f>H32*(1+PARAMETERS!$E$29)</f>
        <v>579.84670910644513</v>
      </c>
      <c r="J32" s="51">
        <f>I32*(1+PARAMETERS!$E$29)</f>
        <v>594.34287683410616</v>
      </c>
      <c r="K32" s="51">
        <f>J32*(1+PARAMETERS!$E$29)</f>
        <v>609.20144875495873</v>
      </c>
      <c r="L32" s="51">
        <f>K32*(1+PARAMETERS!$E$29)</f>
        <v>624.43148497383265</v>
      </c>
      <c r="M32" s="51">
        <f>L32*(1+PARAMETERS!$E$29)</f>
        <v>640.04227209817839</v>
      </c>
      <c r="N32" s="51">
        <f>M32*(1+PARAMETERS!$E$29)</f>
        <v>656.04332890063279</v>
      </c>
      <c r="O32" s="51">
        <f>N32*(1+PARAMETERS!$E$29)</f>
        <v>672.4444121231486</v>
      </c>
      <c r="P32" s="51">
        <f>O32*(1+PARAMETERS!$E$29)</f>
        <v>689.25552242622723</v>
      </c>
      <c r="Q32" s="51">
        <f>P32*(1+PARAMETERS!$E$29)</f>
        <v>706.48691048688283</v>
      </c>
      <c r="R32" s="51">
        <f>Q32*(1+PARAMETERS!$E$29)</f>
        <v>724.1490832490548</v>
      </c>
      <c r="S32" s="52">
        <f t="shared" si="10"/>
        <v>2.4999999999999911E-2</v>
      </c>
      <c r="T32" s="52">
        <f t="shared" si="11"/>
        <v>2.4999999999999911E-2</v>
      </c>
      <c r="U32" s="52">
        <f t="shared" si="12"/>
        <v>2.4999999999999911E-2</v>
      </c>
      <c r="V32" s="53">
        <f t="shared" si="13"/>
        <v>1.4482981664981096</v>
      </c>
    </row>
    <row r="33" spans="1:22" x14ac:dyDescent="0.2">
      <c r="A33" s="10" t="s">
        <v>65</v>
      </c>
      <c r="B33" s="35">
        <v>6</v>
      </c>
      <c r="C33" s="36">
        <f>PARAMETERS!$C$18</f>
        <v>7200</v>
      </c>
      <c r="D33" s="36">
        <f>C33*(1+PARAMETERS!$E$30)</f>
        <v>7214.4</v>
      </c>
      <c r="E33" s="36">
        <f>D33*(1+PARAMETERS!$E$30)</f>
        <v>7228.8287999999993</v>
      </c>
      <c r="F33" s="36">
        <f>E33*(1+PARAMETERS!$E$30)</f>
        <v>7243.2864575999993</v>
      </c>
      <c r="G33" s="36">
        <f>F33*(1+PARAMETERS!$E$30)</f>
        <v>7257.773030515199</v>
      </c>
      <c r="H33" s="36">
        <f>G33*(1+PARAMETERS!$E$30)</f>
        <v>7272.2885765762294</v>
      </c>
      <c r="I33" s="36">
        <f>H33*(1+PARAMETERS!$E$30)</f>
        <v>7286.8331537293816</v>
      </c>
      <c r="J33" s="36">
        <f>I33*(1+PARAMETERS!$E$30)</f>
        <v>7301.4068200368401</v>
      </c>
      <c r="K33" s="36">
        <f>J33*(1+PARAMETERS!$E$30)</f>
        <v>7316.0096336769138</v>
      </c>
      <c r="L33" s="36">
        <f>K33*(1+PARAMETERS!$E$30)</f>
        <v>7330.6416529442677</v>
      </c>
      <c r="M33" s="36">
        <f>L33*(1+PARAMETERS!$E$30)</f>
        <v>7345.3029362501566</v>
      </c>
      <c r="N33" s="36">
        <f>M33*(1+PARAMETERS!$E$30)</f>
        <v>7359.9935421226564</v>
      </c>
      <c r="O33" s="36">
        <f>N33*(1+PARAMETERS!$E$30)</f>
        <v>7374.7135292069015</v>
      </c>
      <c r="P33" s="36">
        <f>O33*(1+PARAMETERS!$E$30)</f>
        <v>7389.4629562653154</v>
      </c>
      <c r="Q33" s="36">
        <f>P33*(1+PARAMETERS!$E$30)</f>
        <v>7404.2418821778456</v>
      </c>
      <c r="R33" s="36">
        <f>Q33*(1+PARAMETERS!$E$30)</f>
        <v>7419.0503659422011</v>
      </c>
      <c r="S33" s="8">
        <f t="shared" si="10"/>
        <v>2.0000000000000018E-3</v>
      </c>
      <c r="T33" s="8">
        <f t="shared" si="11"/>
        <v>2.0000000000000018E-3</v>
      </c>
      <c r="U33" s="8">
        <f t="shared" si="12"/>
        <v>2.0000000000000018E-3</v>
      </c>
      <c r="V33" s="37">
        <f t="shared" si="13"/>
        <v>1.0304236619364169</v>
      </c>
    </row>
    <row r="34" spans="1:22" x14ac:dyDescent="0.2">
      <c r="A34" s="50" t="s">
        <v>68</v>
      </c>
      <c r="B34" s="12">
        <v>7</v>
      </c>
      <c r="C34" s="51">
        <f>PARAMETERS!$C$19</f>
        <v>4000</v>
      </c>
      <c r="D34" s="51">
        <f>C34*(1+PARAMETERS!$E$31)</f>
        <v>4019.9999999999995</v>
      </c>
      <c r="E34" s="51">
        <f>D34*(1+PARAMETERS!$E$31)</f>
        <v>4040.099999999999</v>
      </c>
      <c r="F34" s="51">
        <f>E34*(1+PARAMETERS!$E$31)</f>
        <v>4060.3004999999985</v>
      </c>
      <c r="G34" s="51">
        <f>F34*(1+PARAMETERS!$E$31)</f>
        <v>4080.602002499998</v>
      </c>
      <c r="H34" s="51">
        <f>G34*(1+PARAMETERS!$E$31)</f>
        <v>4101.0050125124972</v>
      </c>
      <c r="I34" s="51">
        <f>H34*(1+PARAMETERS!$E$31)</f>
        <v>4121.510037575059</v>
      </c>
      <c r="J34" s="51">
        <f>I34*(1+PARAMETERS!$E$31)</f>
        <v>4142.1175877629339</v>
      </c>
      <c r="K34" s="51">
        <f>J34*(1+PARAMETERS!$E$31)</f>
        <v>4162.8281757017485</v>
      </c>
      <c r="L34" s="51">
        <f>K34*(1+PARAMETERS!$E$31)</f>
        <v>4183.6423165802571</v>
      </c>
      <c r="M34" s="51">
        <f>L34*(1+PARAMETERS!$E$31)</f>
        <v>4204.5605281631579</v>
      </c>
      <c r="N34" s="51">
        <f>M34*(1+PARAMETERS!$E$31)</f>
        <v>4225.5833308039728</v>
      </c>
      <c r="O34" s="51">
        <f>N34*(1+PARAMETERS!$E$31)</f>
        <v>4246.7112474579926</v>
      </c>
      <c r="P34" s="51">
        <f>O34*(1+PARAMETERS!$E$31)</f>
        <v>4267.9448036952817</v>
      </c>
      <c r="Q34" s="51">
        <f>P34*(1+PARAMETERS!$E$31)</f>
        <v>4289.2845277137576</v>
      </c>
      <c r="R34" s="51">
        <f>Q34*(1+PARAMETERS!$E$31)</f>
        <v>4310.7309503523256</v>
      </c>
      <c r="S34" s="52">
        <f t="shared" si="10"/>
        <v>4.9999999999998934E-3</v>
      </c>
      <c r="T34" s="52">
        <f t="shared" si="11"/>
        <v>4.9999999999998934E-3</v>
      </c>
      <c r="U34" s="52">
        <f t="shared" si="12"/>
        <v>4.9999999999998934E-3</v>
      </c>
      <c r="V34" s="53">
        <f t="shared" si="13"/>
        <v>1.0776827375880813</v>
      </c>
    </row>
    <row r="35" spans="1:22" x14ac:dyDescent="0.2">
      <c r="A35" s="10" t="s">
        <v>70</v>
      </c>
      <c r="B35" s="35">
        <v>8</v>
      </c>
      <c r="C35" s="36">
        <f>PARAMETERS!$C$20</f>
        <v>3000</v>
      </c>
      <c r="D35" s="36">
        <f>C35*(1+PARAMETERS!$E$32)</f>
        <v>3008.9999999999995</v>
      </c>
      <c r="E35" s="36">
        <f>D35*(1+PARAMETERS!$E$32)</f>
        <v>3018.0269999999991</v>
      </c>
      <c r="F35" s="36">
        <f>E35*(1+PARAMETERS!$E$32)</f>
        <v>3027.0810809999989</v>
      </c>
      <c r="G35" s="36">
        <f>F35*(1+PARAMETERS!$E$32)</f>
        <v>3036.1623242429987</v>
      </c>
      <c r="H35" s="36">
        <f>G35*(1+PARAMETERS!$E$32)</f>
        <v>3045.2708112157275</v>
      </c>
      <c r="I35" s="36">
        <f>H35*(1+PARAMETERS!$E$32)</f>
        <v>3054.4066236493745</v>
      </c>
      <c r="J35" s="36">
        <f>I35*(1+PARAMETERS!$E$32)</f>
        <v>3063.5698435203221</v>
      </c>
      <c r="K35" s="36">
        <f>J35*(1+PARAMETERS!$E$32)</f>
        <v>3072.7605530508827</v>
      </c>
      <c r="L35" s="36">
        <f>K35*(1+PARAMETERS!$E$32)</f>
        <v>3081.9788347100348</v>
      </c>
      <c r="M35" s="36">
        <f>L35*(1+PARAMETERS!$E$32)</f>
        <v>3091.2247712141648</v>
      </c>
      <c r="N35" s="36">
        <f>M35*(1+PARAMETERS!$E$32)</f>
        <v>3100.4984455278068</v>
      </c>
      <c r="O35" s="36">
        <f>N35*(1+PARAMETERS!$E$32)</f>
        <v>3109.79994086439</v>
      </c>
      <c r="P35" s="36">
        <f>O35*(1+PARAMETERS!$E$32)</f>
        <v>3119.1293406869827</v>
      </c>
      <c r="Q35" s="36">
        <f>P35*(1+PARAMETERS!$E$32)</f>
        <v>3128.4867287090433</v>
      </c>
      <c r="R35" s="36">
        <f>Q35*(1+PARAMETERS!$E$32)</f>
        <v>3137.87218889517</v>
      </c>
      <c r="S35" s="8">
        <f t="shared" si="10"/>
        <v>2.9999999999998916E-3</v>
      </c>
      <c r="T35" s="8">
        <f t="shared" si="11"/>
        <v>2.9999999999998916E-3</v>
      </c>
      <c r="U35" s="8">
        <f t="shared" si="12"/>
        <v>2.9999999999998916E-3</v>
      </c>
      <c r="V35" s="37">
        <f t="shared" si="13"/>
        <v>1.0459573962983899</v>
      </c>
    </row>
    <row r="36" spans="1:22" x14ac:dyDescent="0.2">
      <c r="A36" s="54" t="s">
        <v>184</v>
      </c>
      <c r="B36" s="55"/>
      <c r="C36" s="56">
        <f t="shared" ref="C36:R36" si="14">SUM(C28:C35)</f>
        <v>26000</v>
      </c>
      <c r="D36" s="56">
        <f t="shared" si="14"/>
        <v>26371.3</v>
      </c>
      <c r="E36" s="56">
        <f t="shared" si="14"/>
        <v>26753.009499999996</v>
      </c>
      <c r="F36" s="56">
        <f t="shared" si="14"/>
        <v>27145.479396699997</v>
      </c>
      <c r="G36" s="56">
        <f t="shared" si="14"/>
        <v>27549.073255583498</v>
      </c>
      <c r="H36" s="56">
        <f t="shared" si="14"/>
        <v>27964.167784709694</v>
      </c>
      <c r="I36" s="56">
        <f t="shared" si="14"/>
        <v>28391.153326578173</v>
      </c>
      <c r="J36" s="56">
        <f t="shared" si="14"/>
        <v>28830.434368763439</v>
      </c>
      <c r="K36" s="56">
        <f t="shared" si="14"/>
        <v>29282.430074043768</v>
      </c>
      <c r="L36" s="56">
        <f t="shared" si="14"/>
        <v>29747.574830777026</v>
      </c>
      <c r="M36" s="56">
        <f t="shared" si="14"/>
        <v>30226.318824305217</v>
      </c>
      <c r="N36" s="56">
        <f t="shared" si="14"/>
        <v>30719.128630200248</v>
      </c>
      <c r="O36" s="56">
        <f t="shared" si="14"/>
        <v>31226.487830194572</v>
      </c>
      <c r="P36" s="56">
        <f t="shared" si="14"/>
        <v>31748.897651673491</v>
      </c>
      <c r="Q36" s="56">
        <f t="shared" si="14"/>
        <v>32286.877631639974</v>
      </c>
      <c r="R36" s="56">
        <f t="shared" si="14"/>
        <v>32840.966306098075</v>
      </c>
      <c r="S36" s="57">
        <f t="shared" si="10"/>
        <v>1.4672079720574605E-2</v>
      </c>
      <c r="T36" s="57">
        <f t="shared" si="11"/>
        <v>1.5679464913721741E-2</v>
      </c>
      <c r="U36" s="57">
        <f t="shared" si="12"/>
        <v>1.6731159936540285E-2</v>
      </c>
      <c r="V36" s="58">
        <f t="shared" si="13"/>
        <v>1.2631140886960799</v>
      </c>
    </row>
  </sheetData>
  <mergeCells count="5">
    <mergeCell ref="A16:V16"/>
    <mergeCell ref="A5:V5"/>
    <mergeCell ref="A1:V1"/>
    <mergeCell ref="A27:V27"/>
    <mergeCell ref="A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D8A45"/>
  </sheetPr>
  <dimension ref="A1:V3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18" width="7" customWidth="1"/>
    <col min="19" max="22" width="9" customWidth="1"/>
  </cols>
  <sheetData>
    <row r="1" spans="1:22" ht="17" x14ac:dyDescent="0.2">
      <c r="A1" s="191" t="s">
        <v>185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2"/>
    </row>
    <row r="3" spans="1:22" x14ac:dyDescent="0.2">
      <c r="A3" s="19" t="s">
        <v>186</v>
      </c>
      <c r="B3" s="5" t="s">
        <v>90</v>
      </c>
      <c r="C3" s="5" t="s">
        <v>158</v>
      </c>
      <c r="D3" s="5" t="s">
        <v>159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165</v>
      </c>
      <c r="K3" s="5" t="s">
        <v>166</v>
      </c>
      <c r="L3" s="5" t="s">
        <v>167</v>
      </c>
      <c r="M3" s="5" t="s">
        <v>168</v>
      </c>
      <c r="N3" s="5" t="s">
        <v>169</v>
      </c>
      <c r="O3" s="5" t="s">
        <v>170</v>
      </c>
      <c r="P3" s="5" t="s">
        <v>171</v>
      </c>
      <c r="Q3" s="5" t="s">
        <v>172</v>
      </c>
      <c r="R3" s="5" t="s">
        <v>173</v>
      </c>
      <c r="S3" s="5" t="s">
        <v>187</v>
      </c>
      <c r="T3" s="5" t="s">
        <v>188</v>
      </c>
      <c r="U3" s="5" t="s">
        <v>189</v>
      </c>
      <c r="V3" s="5" t="s">
        <v>190</v>
      </c>
    </row>
    <row r="4" spans="1:22" x14ac:dyDescent="0.2">
      <c r="A4" s="188" t="s">
        <v>191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pans="1:22" x14ac:dyDescent="0.2">
      <c r="A5" s="194" t="s">
        <v>192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</row>
    <row r="6" spans="1:22" x14ac:dyDescent="0.2">
      <c r="A6" s="50" t="s">
        <v>100</v>
      </c>
      <c r="B6" s="12" t="s">
        <v>101</v>
      </c>
      <c r="C6" s="51">
        <v>35</v>
      </c>
      <c r="D6" s="51">
        <v>52</v>
      </c>
      <c r="E6" s="51">
        <v>69</v>
      </c>
      <c r="F6" s="51">
        <v>68</v>
      </c>
      <c r="G6" s="51">
        <v>67</v>
      </c>
      <c r="H6" s="51">
        <v>67</v>
      </c>
      <c r="I6" s="59">
        <v>0</v>
      </c>
      <c r="J6" s="59">
        <v>0</v>
      </c>
      <c r="K6" s="59">
        <v>0</v>
      </c>
      <c r="L6" s="59">
        <v>0</v>
      </c>
      <c r="M6" s="59">
        <v>0</v>
      </c>
      <c r="N6" s="59">
        <v>0</v>
      </c>
      <c r="O6" s="59">
        <v>0</v>
      </c>
      <c r="P6" s="59">
        <v>0</v>
      </c>
      <c r="Q6" s="59">
        <v>0</v>
      </c>
      <c r="R6" s="59">
        <v>0</v>
      </c>
      <c r="S6" s="51">
        <f>SUM(C6:H6)</f>
        <v>358</v>
      </c>
      <c r="T6" s="51">
        <f>SUM(I6:M6)</f>
        <v>0</v>
      </c>
      <c r="U6" s="51">
        <f>SUM(N6:R6)</f>
        <v>0</v>
      </c>
      <c r="V6" s="51">
        <f>MAX(E6:R6)</f>
        <v>69</v>
      </c>
    </row>
    <row r="7" spans="1:22" x14ac:dyDescent="0.2">
      <c r="A7" s="60" t="s">
        <v>105</v>
      </c>
      <c r="B7" s="61" t="s">
        <v>101</v>
      </c>
      <c r="C7" s="62">
        <v>0</v>
      </c>
      <c r="D7" s="62">
        <v>0</v>
      </c>
      <c r="E7" s="62">
        <v>0</v>
      </c>
      <c r="F7" s="62">
        <v>0</v>
      </c>
      <c r="G7" s="62">
        <v>0</v>
      </c>
      <c r="H7" s="62">
        <v>0</v>
      </c>
      <c r="I7" s="62">
        <v>0</v>
      </c>
      <c r="J7" s="62">
        <v>0</v>
      </c>
      <c r="K7" s="62">
        <v>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2">
        <v>0</v>
      </c>
      <c r="V7" s="62">
        <v>0</v>
      </c>
    </row>
    <row r="8" spans="1:22" x14ac:dyDescent="0.2">
      <c r="A8" s="60" t="s">
        <v>109</v>
      </c>
      <c r="B8" s="61" t="s">
        <v>110</v>
      </c>
      <c r="C8" s="62">
        <v>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  <c r="V8" s="62">
        <v>0</v>
      </c>
    </row>
    <row r="9" spans="1:22" x14ac:dyDescent="0.2">
      <c r="A9" s="60" t="s">
        <v>111</v>
      </c>
      <c r="B9" s="61" t="s">
        <v>110</v>
      </c>
      <c r="C9" s="62">
        <v>0</v>
      </c>
      <c r="D9" s="62">
        <v>0</v>
      </c>
      <c r="E9" s="62">
        <v>0</v>
      </c>
      <c r="F9" s="62">
        <v>0</v>
      </c>
      <c r="G9" s="62">
        <v>0</v>
      </c>
      <c r="H9" s="62">
        <v>0</v>
      </c>
      <c r="I9" s="62">
        <v>0</v>
      </c>
      <c r="J9" s="62">
        <v>0</v>
      </c>
      <c r="K9" s="62">
        <v>0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2">
        <v>0</v>
      </c>
      <c r="V9" s="62">
        <v>0</v>
      </c>
    </row>
    <row r="10" spans="1:22" x14ac:dyDescent="0.2">
      <c r="A10" s="60" t="s">
        <v>112</v>
      </c>
      <c r="B10" s="61" t="s">
        <v>110</v>
      </c>
      <c r="C10" s="62">
        <v>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2">
        <v>0</v>
      </c>
      <c r="V10" s="62">
        <v>0</v>
      </c>
    </row>
    <row r="11" spans="1:22" x14ac:dyDescent="0.2">
      <c r="A11" s="60" t="s">
        <v>113</v>
      </c>
      <c r="B11" s="61" t="s">
        <v>114</v>
      </c>
      <c r="C11" s="62">
        <v>0</v>
      </c>
      <c r="D11" s="62">
        <v>0</v>
      </c>
      <c r="E11" s="62">
        <v>0</v>
      </c>
      <c r="F11" s="62">
        <v>0</v>
      </c>
      <c r="G11" s="62">
        <v>0</v>
      </c>
      <c r="H11" s="62">
        <v>0</v>
      </c>
      <c r="I11" s="62">
        <v>0</v>
      </c>
      <c r="J11" s="62"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</v>
      </c>
      <c r="U11" s="62">
        <v>0</v>
      </c>
      <c r="V11" s="62">
        <v>0</v>
      </c>
    </row>
    <row r="12" spans="1:22" x14ac:dyDescent="0.2">
      <c r="A12" s="60" t="s">
        <v>116</v>
      </c>
      <c r="B12" s="61" t="s">
        <v>110</v>
      </c>
      <c r="C12" s="62">
        <v>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</row>
    <row r="13" spans="1:22" x14ac:dyDescent="0.2">
      <c r="A13" s="60" t="s">
        <v>117</v>
      </c>
      <c r="B13" s="61" t="s">
        <v>118</v>
      </c>
      <c r="C13" s="62">
        <v>0</v>
      </c>
      <c r="D13" s="62">
        <v>0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</row>
    <row r="14" spans="1:22" x14ac:dyDescent="0.2">
      <c r="A14" s="54" t="s">
        <v>193</v>
      </c>
      <c r="B14" s="55"/>
      <c r="C14" s="56">
        <f t="shared" ref="C14:V14" si="0">SUM(C6:C13)</f>
        <v>35</v>
      </c>
      <c r="D14" s="56">
        <f t="shared" si="0"/>
        <v>52</v>
      </c>
      <c r="E14" s="56">
        <f t="shared" si="0"/>
        <v>69</v>
      </c>
      <c r="F14" s="56">
        <f t="shared" si="0"/>
        <v>68</v>
      </c>
      <c r="G14" s="56">
        <f t="shared" si="0"/>
        <v>67</v>
      </c>
      <c r="H14" s="56">
        <f t="shared" si="0"/>
        <v>67</v>
      </c>
      <c r="I14" s="56">
        <f t="shared" si="0"/>
        <v>0</v>
      </c>
      <c r="J14" s="56">
        <f t="shared" si="0"/>
        <v>0</v>
      </c>
      <c r="K14" s="56">
        <f t="shared" si="0"/>
        <v>0</v>
      </c>
      <c r="L14" s="56">
        <f t="shared" si="0"/>
        <v>0</v>
      </c>
      <c r="M14" s="56">
        <f t="shared" si="0"/>
        <v>0</v>
      </c>
      <c r="N14" s="56">
        <f t="shared" si="0"/>
        <v>0</v>
      </c>
      <c r="O14" s="56">
        <f t="shared" si="0"/>
        <v>0</v>
      </c>
      <c r="P14" s="56">
        <f t="shared" si="0"/>
        <v>0</v>
      </c>
      <c r="Q14" s="56">
        <f t="shared" si="0"/>
        <v>0</v>
      </c>
      <c r="R14" s="56">
        <f t="shared" si="0"/>
        <v>0</v>
      </c>
      <c r="S14" s="56">
        <f t="shared" si="0"/>
        <v>358</v>
      </c>
      <c r="T14" s="56">
        <f t="shared" si="0"/>
        <v>0</v>
      </c>
      <c r="U14" s="56">
        <f t="shared" si="0"/>
        <v>0</v>
      </c>
      <c r="V14" s="56">
        <f t="shared" si="0"/>
        <v>69</v>
      </c>
    </row>
    <row r="16" spans="1:22" x14ac:dyDescent="0.2">
      <c r="A16" s="187" t="s">
        <v>194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</row>
    <row r="17" spans="1:22" x14ac:dyDescent="0.2">
      <c r="A17" s="43" t="s">
        <v>100</v>
      </c>
      <c r="B17" s="9" t="s">
        <v>101</v>
      </c>
      <c r="C17" s="14">
        <v>35</v>
      </c>
      <c r="D17" s="14">
        <v>52</v>
      </c>
      <c r="E17" s="14">
        <v>69</v>
      </c>
      <c r="F17" s="14">
        <v>68</v>
      </c>
      <c r="G17" s="14">
        <v>67</v>
      </c>
      <c r="H17" s="14">
        <v>67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14">
        <f>SUM(C17:H17)</f>
        <v>358</v>
      </c>
      <c r="T17" s="14">
        <f>SUM(I17:M17)</f>
        <v>0</v>
      </c>
      <c r="U17" s="14">
        <f>SUM(N17:R17)</f>
        <v>0</v>
      </c>
      <c r="V17" s="14">
        <f>MAX(E17:R17)</f>
        <v>69</v>
      </c>
    </row>
    <row r="18" spans="1:22" x14ac:dyDescent="0.2">
      <c r="A18" s="10" t="s">
        <v>105</v>
      </c>
      <c r="B18" s="35" t="s">
        <v>101</v>
      </c>
      <c r="C18" s="64">
        <v>0</v>
      </c>
      <c r="D18" s="64">
        <v>0</v>
      </c>
      <c r="E18" s="64">
        <v>0</v>
      </c>
      <c r="F18" s="64">
        <v>0</v>
      </c>
      <c r="G18" s="36">
        <v>100</v>
      </c>
      <c r="H18" s="36">
        <v>150</v>
      </c>
      <c r="I18" s="36">
        <v>200</v>
      </c>
      <c r="J18" s="36">
        <v>200</v>
      </c>
      <c r="K18" s="36">
        <v>200</v>
      </c>
      <c r="L18" s="36">
        <v>200</v>
      </c>
      <c r="M18" s="36">
        <v>200</v>
      </c>
      <c r="N18" s="36">
        <v>200</v>
      </c>
      <c r="O18" s="36">
        <v>200</v>
      </c>
      <c r="P18" s="36">
        <v>200</v>
      </c>
      <c r="Q18" s="36">
        <v>200</v>
      </c>
      <c r="R18" s="36">
        <v>200</v>
      </c>
      <c r="S18" s="36">
        <f>SUM(C18:H18)</f>
        <v>250</v>
      </c>
      <c r="T18" s="36">
        <f>SUM(I18:M18)</f>
        <v>1000</v>
      </c>
      <c r="U18" s="36">
        <f>SUM(N18:R18)</f>
        <v>1000</v>
      </c>
      <c r="V18" s="36">
        <f>MAX(I18:R18)</f>
        <v>200</v>
      </c>
    </row>
    <row r="19" spans="1:22" x14ac:dyDescent="0.2">
      <c r="A19" s="43" t="s">
        <v>109</v>
      </c>
      <c r="B19" s="9" t="s">
        <v>110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14">
        <v>75</v>
      </c>
      <c r="J19" s="14">
        <v>112</v>
      </c>
      <c r="K19" s="14">
        <v>150</v>
      </c>
      <c r="L19" s="14">
        <v>150</v>
      </c>
      <c r="M19" s="14">
        <v>150</v>
      </c>
      <c r="N19" s="14">
        <v>150</v>
      </c>
      <c r="O19" s="14">
        <v>150</v>
      </c>
      <c r="P19" s="14">
        <v>150</v>
      </c>
      <c r="Q19" s="14">
        <v>150</v>
      </c>
      <c r="R19" s="14">
        <v>150</v>
      </c>
      <c r="S19" s="14">
        <f>SUM(C19:H19)</f>
        <v>0</v>
      </c>
      <c r="T19" s="14">
        <f>SUM(I19:M19)</f>
        <v>637</v>
      </c>
      <c r="U19" s="14">
        <f>SUM(N19:R19)</f>
        <v>750</v>
      </c>
      <c r="V19" s="14">
        <f>MAX(K19:R19)</f>
        <v>150</v>
      </c>
    </row>
    <row r="20" spans="1:22" x14ac:dyDescent="0.2">
      <c r="A20" s="60" t="s">
        <v>111</v>
      </c>
      <c r="B20" s="61" t="s">
        <v>110</v>
      </c>
      <c r="C20" s="62">
        <v>0</v>
      </c>
      <c r="D20" s="62">
        <v>0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</row>
    <row r="21" spans="1:22" x14ac:dyDescent="0.2">
      <c r="A21" s="60" t="s">
        <v>112</v>
      </c>
      <c r="B21" s="61" t="s">
        <v>110</v>
      </c>
      <c r="C21" s="62">
        <v>0</v>
      </c>
      <c r="D21" s="62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</row>
    <row r="22" spans="1:22" x14ac:dyDescent="0.2">
      <c r="A22" s="60" t="s">
        <v>113</v>
      </c>
      <c r="B22" s="61" t="s">
        <v>114</v>
      </c>
      <c r="C22" s="62">
        <v>0</v>
      </c>
      <c r="D22" s="62">
        <v>0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</row>
    <row r="23" spans="1:22" x14ac:dyDescent="0.2">
      <c r="A23" s="60" t="s">
        <v>116</v>
      </c>
      <c r="B23" s="61" t="s">
        <v>110</v>
      </c>
      <c r="C23" s="62">
        <v>0</v>
      </c>
      <c r="D23" s="62">
        <v>0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0</v>
      </c>
      <c r="V23" s="62">
        <v>0</v>
      </c>
    </row>
    <row r="24" spans="1:22" x14ac:dyDescent="0.2">
      <c r="A24" s="60" t="s">
        <v>117</v>
      </c>
      <c r="B24" s="61" t="s">
        <v>118</v>
      </c>
      <c r="C24" s="62">
        <v>0</v>
      </c>
      <c r="D24" s="62">
        <v>0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</row>
    <row r="25" spans="1:22" x14ac:dyDescent="0.2">
      <c r="A25" s="45" t="s">
        <v>195</v>
      </c>
      <c r="B25" s="46"/>
      <c r="C25" s="47">
        <f t="shared" ref="C25:V25" si="1">SUM(C17:C24)</f>
        <v>35</v>
      </c>
      <c r="D25" s="47">
        <f t="shared" si="1"/>
        <v>52</v>
      </c>
      <c r="E25" s="47">
        <f t="shared" si="1"/>
        <v>69</v>
      </c>
      <c r="F25" s="47">
        <f t="shared" si="1"/>
        <v>68</v>
      </c>
      <c r="G25" s="47">
        <f t="shared" si="1"/>
        <v>167</v>
      </c>
      <c r="H25" s="47">
        <f t="shared" si="1"/>
        <v>217</v>
      </c>
      <c r="I25" s="47">
        <f t="shared" si="1"/>
        <v>275</v>
      </c>
      <c r="J25" s="47">
        <f t="shared" si="1"/>
        <v>312</v>
      </c>
      <c r="K25" s="47">
        <f t="shared" si="1"/>
        <v>350</v>
      </c>
      <c r="L25" s="47">
        <f t="shared" si="1"/>
        <v>350</v>
      </c>
      <c r="M25" s="47">
        <f t="shared" si="1"/>
        <v>350</v>
      </c>
      <c r="N25" s="47">
        <f t="shared" si="1"/>
        <v>350</v>
      </c>
      <c r="O25" s="47">
        <f t="shared" si="1"/>
        <v>350</v>
      </c>
      <c r="P25" s="47">
        <f t="shared" si="1"/>
        <v>350</v>
      </c>
      <c r="Q25" s="47">
        <f t="shared" si="1"/>
        <v>350</v>
      </c>
      <c r="R25" s="47">
        <f t="shared" si="1"/>
        <v>350</v>
      </c>
      <c r="S25" s="47">
        <f t="shared" si="1"/>
        <v>608</v>
      </c>
      <c r="T25" s="47">
        <f t="shared" si="1"/>
        <v>1637</v>
      </c>
      <c r="U25" s="47">
        <f t="shared" si="1"/>
        <v>1750</v>
      </c>
      <c r="V25" s="47">
        <f t="shared" si="1"/>
        <v>419</v>
      </c>
    </row>
    <row r="27" spans="1:22" x14ac:dyDescent="0.2">
      <c r="A27" s="193" t="s">
        <v>196</v>
      </c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</row>
    <row r="28" spans="1:22" x14ac:dyDescent="0.2">
      <c r="A28" s="30" t="s">
        <v>100</v>
      </c>
      <c r="B28" s="31" t="s">
        <v>101</v>
      </c>
      <c r="C28" s="32">
        <v>35</v>
      </c>
      <c r="D28" s="32">
        <v>52</v>
      </c>
      <c r="E28" s="32">
        <v>69</v>
      </c>
      <c r="F28" s="32">
        <v>68</v>
      </c>
      <c r="G28" s="32">
        <v>67</v>
      </c>
      <c r="H28" s="32">
        <v>67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32">
        <f t="shared" ref="S28:S35" si="2">SUM(C28:H28)</f>
        <v>358</v>
      </c>
      <c r="T28" s="32">
        <f t="shared" ref="T28:T35" si="3">SUM(I28:M28)</f>
        <v>0</v>
      </c>
      <c r="U28" s="32">
        <f t="shared" ref="U28:U35" si="4">SUM(N28:R28)</f>
        <v>0</v>
      </c>
      <c r="V28" s="32">
        <f>MAX(E28:R28)</f>
        <v>69</v>
      </c>
    </row>
    <row r="29" spans="1:22" x14ac:dyDescent="0.2">
      <c r="A29" s="10" t="s">
        <v>105</v>
      </c>
      <c r="B29" s="35" t="s">
        <v>101</v>
      </c>
      <c r="C29" s="64">
        <v>0</v>
      </c>
      <c r="D29" s="64">
        <v>0</v>
      </c>
      <c r="E29" s="64">
        <v>0</v>
      </c>
      <c r="F29" s="64">
        <v>0</v>
      </c>
      <c r="G29" s="36">
        <v>100</v>
      </c>
      <c r="H29" s="36">
        <v>150</v>
      </c>
      <c r="I29" s="36">
        <v>200</v>
      </c>
      <c r="J29" s="36">
        <v>200</v>
      </c>
      <c r="K29" s="36">
        <v>200</v>
      </c>
      <c r="L29" s="36">
        <v>200</v>
      </c>
      <c r="M29" s="36">
        <v>200</v>
      </c>
      <c r="N29" s="36">
        <v>200</v>
      </c>
      <c r="O29" s="36">
        <v>200</v>
      </c>
      <c r="P29" s="36">
        <v>200</v>
      </c>
      <c r="Q29" s="36">
        <v>200</v>
      </c>
      <c r="R29" s="36">
        <v>200</v>
      </c>
      <c r="S29" s="36">
        <f t="shared" si="2"/>
        <v>250</v>
      </c>
      <c r="T29" s="36">
        <f t="shared" si="3"/>
        <v>1000</v>
      </c>
      <c r="U29" s="36">
        <f t="shared" si="4"/>
        <v>1000</v>
      </c>
      <c r="V29" s="36">
        <f>MAX(I29:R29)</f>
        <v>200</v>
      </c>
    </row>
    <row r="30" spans="1:22" x14ac:dyDescent="0.2">
      <c r="A30" s="30" t="s">
        <v>109</v>
      </c>
      <c r="B30" s="31" t="s">
        <v>110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32">
        <v>75</v>
      </c>
      <c r="J30" s="32">
        <v>112</v>
      </c>
      <c r="K30" s="32">
        <v>150</v>
      </c>
      <c r="L30" s="32">
        <v>150</v>
      </c>
      <c r="M30" s="32">
        <v>150</v>
      </c>
      <c r="N30" s="32">
        <v>150</v>
      </c>
      <c r="O30" s="32">
        <v>150</v>
      </c>
      <c r="P30" s="32">
        <v>150</v>
      </c>
      <c r="Q30" s="32">
        <v>150</v>
      </c>
      <c r="R30" s="32">
        <v>150</v>
      </c>
      <c r="S30" s="32">
        <f t="shared" si="2"/>
        <v>0</v>
      </c>
      <c r="T30" s="32">
        <f t="shared" si="3"/>
        <v>637</v>
      </c>
      <c r="U30" s="32">
        <f t="shared" si="4"/>
        <v>750</v>
      </c>
      <c r="V30" s="32">
        <f>MAX(K30:R30)</f>
        <v>150</v>
      </c>
    </row>
    <row r="31" spans="1:22" x14ac:dyDescent="0.2">
      <c r="A31" s="10" t="s">
        <v>111</v>
      </c>
      <c r="B31" s="35" t="s">
        <v>110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36">
        <v>100</v>
      </c>
      <c r="K31" s="36">
        <v>150</v>
      </c>
      <c r="L31" s="36">
        <v>200</v>
      </c>
      <c r="M31" s="36">
        <v>200</v>
      </c>
      <c r="N31" s="36">
        <v>200</v>
      </c>
      <c r="O31" s="36">
        <v>200</v>
      </c>
      <c r="P31" s="36">
        <v>200</v>
      </c>
      <c r="Q31" s="36">
        <v>200</v>
      </c>
      <c r="R31" s="36">
        <v>200</v>
      </c>
      <c r="S31" s="36">
        <f t="shared" si="2"/>
        <v>0</v>
      </c>
      <c r="T31" s="36">
        <f t="shared" si="3"/>
        <v>650</v>
      </c>
      <c r="U31" s="36">
        <f t="shared" si="4"/>
        <v>1000</v>
      </c>
      <c r="V31" s="36">
        <f>MAX(L31:R31)</f>
        <v>200</v>
      </c>
    </row>
    <row r="32" spans="1:22" x14ac:dyDescent="0.2">
      <c r="A32" s="30" t="s">
        <v>112</v>
      </c>
      <c r="B32" s="31" t="s">
        <v>110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32">
        <v>100</v>
      </c>
      <c r="L32" s="32">
        <v>150</v>
      </c>
      <c r="M32" s="32">
        <v>200</v>
      </c>
      <c r="N32" s="32">
        <v>200</v>
      </c>
      <c r="O32" s="32">
        <v>200</v>
      </c>
      <c r="P32" s="32">
        <v>200</v>
      </c>
      <c r="Q32" s="32">
        <v>200</v>
      </c>
      <c r="R32" s="32">
        <v>200</v>
      </c>
      <c r="S32" s="32">
        <f t="shared" si="2"/>
        <v>0</v>
      </c>
      <c r="T32" s="32">
        <f t="shared" si="3"/>
        <v>450</v>
      </c>
      <c r="U32" s="32">
        <f t="shared" si="4"/>
        <v>1000</v>
      </c>
      <c r="V32" s="32">
        <f>MAX(M32:R32)</f>
        <v>200</v>
      </c>
    </row>
    <row r="33" spans="1:22" x14ac:dyDescent="0.2">
      <c r="A33" s="10" t="s">
        <v>113</v>
      </c>
      <c r="B33" s="35" t="s">
        <v>114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36">
        <v>85</v>
      </c>
      <c r="L33" s="36">
        <v>128</v>
      </c>
      <c r="M33" s="36">
        <v>170</v>
      </c>
      <c r="N33" s="36">
        <v>170</v>
      </c>
      <c r="O33" s="36">
        <v>170</v>
      </c>
      <c r="P33" s="36">
        <v>170</v>
      </c>
      <c r="Q33" s="36">
        <v>170</v>
      </c>
      <c r="R33" s="36">
        <v>170</v>
      </c>
      <c r="S33" s="36">
        <f t="shared" si="2"/>
        <v>0</v>
      </c>
      <c r="T33" s="36">
        <f t="shared" si="3"/>
        <v>383</v>
      </c>
      <c r="U33" s="36">
        <f t="shared" si="4"/>
        <v>850</v>
      </c>
      <c r="V33" s="36">
        <f>MAX(M33:R33)</f>
        <v>170</v>
      </c>
    </row>
    <row r="34" spans="1:22" x14ac:dyDescent="0.2">
      <c r="A34" s="30" t="s">
        <v>116</v>
      </c>
      <c r="B34" s="31" t="s">
        <v>110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32">
        <v>50</v>
      </c>
      <c r="N34" s="32">
        <v>75</v>
      </c>
      <c r="O34" s="32">
        <v>100</v>
      </c>
      <c r="P34" s="32">
        <v>100</v>
      </c>
      <c r="Q34" s="32">
        <v>100</v>
      </c>
      <c r="R34" s="32">
        <v>100</v>
      </c>
      <c r="S34" s="32">
        <f t="shared" si="2"/>
        <v>0</v>
      </c>
      <c r="T34" s="32">
        <f t="shared" si="3"/>
        <v>50</v>
      </c>
      <c r="U34" s="32">
        <f t="shared" si="4"/>
        <v>475</v>
      </c>
      <c r="V34" s="32">
        <f>MAX(O34:R34)</f>
        <v>100</v>
      </c>
    </row>
    <row r="35" spans="1:22" x14ac:dyDescent="0.2">
      <c r="A35" s="10" t="s">
        <v>117</v>
      </c>
      <c r="B35" s="35" t="s">
        <v>118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36">
        <v>35</v>
      </c>
      <c r="M35" s="36">
        <v>52</v>
      </c>
      <c r="N35" s="36">
        <v>70</v>
      </c>
      <c r="O35" s="36">
        <v>70</v>
      </c>
      <c r="P35" s="36">
        <v>70</v>
      </c>
      <c r="Q35" s="36">
        <v>70</v>
      </c>
      <c r="R35" s="36">
        <v>70</v>
      </c>
      <c r="S35" s="36">
        <f t="shared" si="2"/>
        <v>0</v>
      </c>
      <c r="T35" s="36">
        <f t="shared" si="3"/>
        <v>87</v>
      </c>
      <c r="U35" s="36">
        <f t="shared" si="4"/>
        <v>350</v>
      </c>
      <c r="V35" s="36">
        <f>MAX(N35:R35)</f>
        <v>70</v>
      </c>
    </row>
    <row r="36" spans="1:22" x14ac:dyDescent="0.2">
      <c r="A36" s="38" t="s">
        <v>197</v>
      </c>
      <c r="B36" s="39"/>
      <c r="C36" s="40">
        <f t="shared" ref="C36:V36" si="5">SUM(C28:C35)</f>
        <v>35</v>
      </c>
      <c r="D36" s="40">
        <f t="shared" si="5"/>
        <v>52</v>
      </c>
      <c r="E36" s="40">
        <f t="shared" si="5"/>
        <v>69</v>
      </c>
      <c r="F36" s="40">
        <f t="shared" si="5"/>
        <v>68</v>
      </c>
      <c r="G36" s="40">
        <f t="shared" si="5"/>
        <v>167</v>
      </c>
      <c r="H36" s="40">
        <f t="shared" si="5"/>
        <v>217</v>
      </c>
      <c r="I36" s="40">
        <f t="shared" si="5"/>
        <v>275</v>
      </c>
      <c r="J36" s="40">
        <f t="shared" si="5"/>
        <v>412</v>
      </c>
      <c r="K36" s="40">
        <f t="shared" si="5"/>
        <v>685</v>
      </c>
      <c r="L36" s="40">
        <f t="shared" si="5"/>
        <v>863</v>
      </c>
      <c r="M36" s="40">
        <f t="shared" si="5"/>
        <v>1022</v>
      </c>
      <c r="N36" s="40">
        <f t="shared" si="5"/>
        <v>1065</v>
      </c>
      <c r="O36" s="40">
        <f t="shared" si="5"/>
        <v>1090</v>
      </c>
      <c r="P36" s="40">
        <f t="shared" si="5"/>
        <v>1090</v>
      </c>
      <c r="Q36" s="40">
        <f t="shared" si="5"/>
        <v>1090</v>
      </c>
      <c r="R36" s="40">
        <f t="shared" si="5"/>
        <v>1090</v>
      </c>
      <c r="S36" s="40">
        <f t="shared" si="5"/>
        <v>608</v>
      </c>
      <c r="T36" s="40">
        <f t="shared" si="5"/>
        <v>3257</v>
      </c>
      <c r="U36" s="40">
        <f t="shared" si="5"/>
        <v>5425</v>
      </c>
      <c r="V36" s="40">
        <f t="shared" si="5"/>
        <v>1159</v>
      </c>
    </row>
    <row r="38" spans="1:22" x14ac:dyDescent="0.2">
      <c r="A38" s="188" t="s">
        <v>198</v>
      </c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</row>
  </sheetData>
  <mergeCells count="6">
    <mergeCell ref="A38:V38"/>
    <mergeCell ref="A16:V16"/>
    <mergeCell ref="A5:V5"/>
    <mergeCell ref="A1:V1"/>
    <mergeCell ref="A27:V27"/>
    <mergeCell ref="A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9000"/>
  </sheetPr>
  <dimension ref="A1:V28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2" width="7" customWidth="1"/>
    <col min="3" max="18" width="7.5" customWidth="1"/>
    <col min="19" max="21" width="10" customWidth="1"/>
  </cols>
  <sheetData>
    <row r="1" spans="1:22" ht="17" x14ac:dyDescent="0.2">
      <c r="A1" s="191" t="s">
        <v>199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2"/>
    </row>
    <row r="2" spans="1:22" ht="30" customHeight="1" x14ac:dyDescent="0.2">
      <c r="A2" s="195" t="s">
        <v>200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2" x14ac:dyDescent="0.2">
      <c r="A3" s="19" t="s">
        <v>201</v>
      </c>
      <c r="B3" s="5" t="s">
        <v>202</v>
      </c>
      <c r="C3" s="5" t="s">
        <v>158</v>
      </c>
      <c r="D3" s="5" t="s">
        <v>159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165</v>
      </c>
      <c r="K3" s="5" t="s">
        <v>166</v>
      </c>
      <c r="L3" s="5" t="s">
        <v>167</v>
      </c>
      <c r="M3" s="5" t="s">
        <v>168</v>
      </c>
      <c r="N3" s="5" t="s">
        <v>169</v>
      </c>
      <c r="O3" s="5" t="s">
        <v>170</v>
      </c>
      <c r="P3" s="5" t="s">
        <v>171</v>
      </c>
      <c r="Q3" s="5" t="s">
        <v>172</v>
      </c>
      <c r="R3" s="5" t="s">
        <v>173</v>
      </c>
      <c r="S3" s="5" t="s">
        <v>203</v>
      </c>
      <c r="T3" s="5" t="s">
        <v>204</v>
      </c>
      <c r="U3" s="5" t="s">
        <v>205</v>
      </c>
    </row>
    <row r="4" spans="1:22" x14ac:dyDescent="0.2">
      <c r="A4" s="193" t="s">
        <v>206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</row>
    <row r="5" spans="1:22" x14ac:dyDescent="0.2">
      <c r="A5" s="26" t="s">
        <v>207</v>
      </c>
      <c r="B5" s="66" t="s">
        <v>208</v>
      </c>
      <c r="C5" s="32">
        <f>DEMAND_FORECAST!C14</f>
        <v>26000</v>
      </c>
      <c r="D5" s="32">
        <f>DEMAND_FORECAST!D14</f>
        <v>27012</v>
      </c>
      <c r="E5" s="32">
        <f>DEMAND_FORECAST!E14</f>
        <v>28082.715</v>
      </c>
      <c r="F5" s="32">
        <f>DEMAND_FORECAST!F14</f>
        <v>29216.299274999994</v>
      </c>
      <c r="G5" s="32">
        <f>DEMAND_FORECAST!G14</f>
        <v>30417.227968124997</v>
      </c>
      <c r="H5" s="32">
        <f>DEMAND_FORECAST!H14</f>
        <v>31690.32304302937</v>
      </c>
      <c r="I5" s="32">
        <f>DEMAND_FORECAST!I14</f>
        <v>33040.781396335602</v>
      </c>
      <c r="J5" s="32">
        <f>DEMAND_FORECAST!J14</f>
        <v>34474.205313365303</v>
      </c>
      <c r="K5" s="32">
        <f>DEMAND_FORECAST!K14</f>
        <v>35996.63546617487</v>
      </c>
      <c r="L5" s="32">
        <f>DEMAND_FORECAST!L14</f>
        <v>37614.586670029217</v>
      </c>
      <c r="M5" s="32">
        <f>DEMAND_FORECAST!M14</f>
        <v>39335.086633055085</v>
      </c>
      <c r="N5" s="32">
        <f>DEMAND_FORECAST!N14</f>
        <v>41165.717954039101</v>
      </c>
      <c r="O5" s="32">
        <f>DEMAND_FORECAST!O14</f>
        <v>43114.663645317756</v>
      </c>
      <c r="P5" s="32">
        <f>DEMAND_FORECAST!P14</f>
        <v>45190.756481599266</v>
      </c>
      <c r="Q5" s="32">
        <f>DEMAND_FORECAST!Q14</f>
        <v>47403.532501528927</v>
      </c>
      <c r="R5" s="32">
        <f>DEMAND_FORECAST!R14</f>
        <v>49763.289017041432</v>
      </c>
      <c r="S5" s="32">
        <f t="shared" ref="S5:S10" si="0">SUM(C5:H5)</f>
        <v>172418.56528615436</v>
      </c>
      <c r="T5" s="32">
        <f t="shared" ref="T5:T10" si="1">SUM(I5:M5)</f>
        <v>180461.29547896006</v>
      </c>
      <c r="U5" s="32">
        <f t="shared" ref="U5:U10" si="2">SUM(N5:R5)</f>
        <v>226637.95959952648</v>
      </c>
    </row>
    <row r="6" spans="1:22" x14ac:dyDescent="0.2">
      <c r="A6" s="10" t="s">
        <v>209</v>
      </c>
      <c r="B6" s="67" t="s">
        <v>208</v>
      </c>
      <c r="C6" s="36">
        <f>26000*(1+0.02)^0</f>
        <v>26000</v>
      </c>
      <c r="D6" s="36">
        <f>26000*(1+0.02)^1</f>
        <v>26520</v>
      </c>
      <c r="E6" s="36">
        <f>26000*(1+0.02)^2</f>
        <v>27050.400000000001</v>
      </c>
      <c r="F6" s="36">
        <f>26000*(1+0.02)^3</f>
        <v>27591.407999999999</v>
      </c>
      <c r="G6" s="36">
        <f>26000*(1+0.02)^4</f>
        <v>28143.23616</v>
      </c>
      <c r="H6" s="36">
        <f>26000*(1+0.02)^5</f>
        <v>28706.100883200001</v>
      </c>
      <c r="I6" s="36">
        <f>26000*(1+0.02)^6</f>
        <v>29280.222900864002</v>
      </c>
      <c r="J6" s="36">
        <f>26000*(1+0.02)^7</f>
        <v>29865.827358881274</v>
      </c>
      <c r="K6" s="36">
        <f>26000*(1+0.02)^8</f>
        <v>30463.143906058904</v>
      </c>
      <c r="L6" s="36">
        <f>26000*(1+0.02)^9</f>
        <v>31072.406784180082</v>
      </c>
      <c r="M6" s="36">
        <f>26000*(1+0.02)^10</f>
        <v>31693.854919863687</v>
      </c>
      <c r="N6" s="36">
        <f>26000*(1+0.02)^11</f>
        <v>32327.732018260951</v>
      </c>
      <c r="O6" s="36">
        <f>26000*(1+0.02)^12</f>
        <v>32974.286658626173</v>
      </c>
      <c r="P6" s="36">
        <f>26000*(1+0.02)^13</f>
        <v>33633.772391798695</v>
      </c>
      <c r="Q6" s="36">
        <f>26000*(1+0.02)^14</f>
        <v>34306.447839634675</v>
      </c>
      <c r="R6" s="36">
        <f>26000*(1+0.02)^15</f>
        <v>34992.576796427362</v>
      </c>
      <c r="S6" s="36">
        <f t="shared" si="0"/>
        <v>164011.1450432</v>
      </c>
      <c r="T6" s="36">
        <f t="shared" si="1"/>
        <v>152375.45586984794</v>
      </c>
      <c r="U6" s="36">
        <f t="shared" si="2"/>
        <v>168234.81570474786</v>
      </c>
    </row>
    <row r="7" spans="1:22" x14ac:dyDescent="0.2">
      <c r="A7" s="26" t="s">
        <v>210</v>
      </c>
      <c r="B7" s="66" t="s">
        <v>208</v>
      </c>
      <c r="C7" s="32">
        <f t="shared" ref="C7:R7" si="3">C5-C6</f>
        <v>0</v>
      </c>
      <c r="D7" s="32">
        <f t="shared" si="3"/>
        <v>492</v>
      </c>
      <c r="E7" s="32">
        <f t="shared" si="3"/>
        <v>1032.3149999999987</v>
      </c>
      <c r="F7" s="32">
        <f t="shared" si="3"/>
        <v>1624.8912749999945</v>
      </c>
      <c r="G7" s="32">
        <f t="shared" si="3"/>
        <v>2273.9918081249962</v>
      </c>
      <c r="H7" s="32">
        <f t="shared" si="3"/>
        <v>2984.222159829369</v>
      </c>
      <c r="I7" s="32">
        <f t="shared" si="3"/>
        <v>3760.5584954715996</v>
      </c>
      <c r="J7" s="32">
        <f t="shared" si="3"/>
        <v>4608.377954484029</v>
      </c>
      <c r="K7" s="32">
        <f t="shared" si="3"/>
        <v>5533.4915601159664</v>
      </c>
      <c r="L7" s="32">
        <f t="shared" si="3"/>
        <v>6542.1798858491347</v>
      </c>
      <c r="M7" s="32">
        <f t="shared" si="3"/>
        <v>7641.2317131913987</v>
      </c>
      <c r="N7" s="32">
        <f t="shared" si="3"/>
        <v>8837.9859357781497</v>
      </c>
      <c r="O7" s="32">
        <f t="shared" si="3"/>
        <v>10140.376986691583</v>
      </c>
      <c r="P7" s="32">
        <f t="shared" si="3"/>
        <v>11556.984089800571</v>
      </c>
      <c r="Q7" s="32">
        <f t="shared" si="3"/>
        <v>13097.084661894252</v>
      </c>
      <c r="R7" s="32">
        <f t="shared" si="3"/>
        <v>14770.71222061407</v>
      </c>
      <c r="S7" s="32">
        <f t="shared" si="0"/>
        <v>8407.4202429543584</v>
      </c>
      <c r="T7" s="32">
        <f t="shared" si="1"/>
        <v>28085.839609112129</v>
      </c>
      <c r="U7" s="32">
        <f t="shared" si="2"/>
        <v>58403.14389477863</v>
      </c>
    </row>
    <row r="8" spans="1:22" x14ac:dyDescent="0.2">
      <c r="A8" s="10" t="s">
        <v>211</v>
      </c>
      <c r="B8" s="67" t="s">
        <v>208</v>
      </c>
      <c r="C8" s="36">
        <f>ARGENTINA_SUPPLY!C36</f>
        <v>35</v>
      </c>
      <c r="D8" s="36">
        <f>ARGENTINA_SUPPLY!D36</f>
        <v>52</v>
      </c>
      <c r="E8" s="36">
        <f>ARGENTINA_SUPPLY!E36</f>
        <v>69</v>
      </c>
      <c r="F8" s="36">
        <f>ARGENTINA_SUPPLY!F36</f>
        <v>68</v>
      </c>
      <c r="G8" s="36">
        <f>ARGENTINA_SUPPLY!G36</f>
        <v>167</v>
      </c>
      <c r="H8" s="36">
        <f>ARGENTINA_SUPPLY!H36</f>
        <v>217</v>
      </c>
      <c r="I8" s="36">
        <f>ARGENTINA_SUPPLY!I36</f>
        <v>275</v>
      </c>
      <c r="J8" s="36">
        <f>ARGENTINA_SUPPLY!J36</f>
        <v>412</v>
      </c>
      <c r="K8" s="36">
        <f>ARGENTINA_SUPPLY!K36</f>
        <v>685</v>
      </c>
      <c r="L8" s="36">
        <f>ARGENTINA_SUPPLY!L36</f>
        <v>863</v>
      </c>
      <c r="M8" s="36">
        <f>ARGENTINA_SUPPLY!M36</f>
        <v>1022</v>
      </c>
      <c r="N8" s="36">
        <f>ARGENTINA_SUPPLY!N36</f>
        <v>1065</v>
      </c>
      <c r="O8" s="36">
        <f>ARGENTINA_SUPPLY!O36</f>
        <v>1090</v>
      </c>
      <c r="P8" s="36">
        <f>ARGENTINA_SUPPLY!P36</f>
        <v>1090</v>
      </c>
      <c r="Q8" s="36">
        <f>ARGENTINA_SUPPLY!Q36</f>
        <v>1090</v>
      </c>
      <c r="R8" s="36">
        <f>ARGENTINA_SUPPLY!R36</f>
        <v>1090</v>
      </c>
      <c r="S8" s="36">
        <f t="shared" si="0"/>
        <v>608</v>
      </c>
      <c r="T8" s="36">
        <f t="shared" si="1"/>
        <v>3257</v>
      </c>
      <c r="U8" s="36">
        <f t="shared" si="2"/>
        <v>5425</v>
      </c>
    </row>
    <row r="9" spans="1:22" x14ac:dyDescent="0.2">
      <c r="A9" s="30" t="s">
        <v>212</v>
      </c>
      <c r="B9" s="66" t="s">
        <v>208</v>
      </c>
      <c r="C9" s="32">
        <f t="shared" ref="C9:R9" si="4">C7-C8</f>
        <v>-35</v>
      </c>
      <c r="D9" s="32">
        <f t="shared" si="4"/>
        <v>440</v>
      </c>
      <c r="E9" s="32">
        <f t="shared" si="4"/>
        <v>963.31499999999869</v>
      </c>
      <c r="F9" s="32">
        <f t="shared" si="4"/>
        <v>1556.8912749999945</v>
      </c>
      <c r="G9" s="32">
        <f t="shared" si="4"/>
        <v>2106.9918081249962</v>
      </c>
      <c r="H9" s="32">
        <f t="shared" si="4"/>
        <v>2767.222159829369</v>
      </c>
      <c r="I9" s="32">
        <f t="shared" si="4"/>
        <v>3485.5584954715996</v>
      </c>
      <c r="J9" s="32">
        <f t="shared" si="4"/>
        <v>4196.377954484029</v>
      </c>
      <c r="K9" s="32">
        <f t="shared" si="4"/>
        <v>4848.4915601159664</v>
      </c>
      <c r="L9" s="32">
        <f t="shared" si="4"/>
        <v>5679.1798858491347</v>
      </c>
      <c r="M9" s="32">
        <f t="shared" si="4"/>
        <v>6619.2317131913987</v>
      </c>
      <c r="N9" s="32">
        <f t="shared" si="4"/>
        <v>7772.9859357781497</v>
      </c>
      <c r="O9" s="32">
        <f t="shared" si="4"/>
        <v>9050.3769866915827</v>
      </c>
      <c r="P9" s="32">
        <f t="shared" si="4"/>
        <v>10466.984089800571</v>
      </c>
      <c r="Q9" s="32">
        <f t="shared" si="4"/>
        <v>12007.084661894252</v>
      </c>
      <c r="R9" s="32">
        <f t="shared" si="4"/>
        <v>13680.71222061407</v>
      </c>
      <c r="S9" s="32">
        <f t="shared" si="0"/>
        <v>7799.4202429543584</v>
      </c>
      <c r="T9" s="32">
        <f t="shared" si="1"/>
        <v>24828.839609112129</v>
      </c>
      <c r="U9" s="32">
        <f t="shared" si="2"/>
        <v>52978.14389477863</v>
      </c>
    </row>
    <row r="10" spans="1:22" x14ac:dyDescent="0.2">
      <c r="A10" s="68" t="s">
        <v>213</v>
      </c>
      <c r="B10" s="67" t="s">
        <v>214</v>
      </c>
      <c r="C10" s="8">
        <f t="shared" ref="C10:R10" si="5">IF(C5&gt;0,C8/C5,0)</f>
        <v>1.3461538461538461E-3</v>
      </c>
      <c r="D10" s="8">
        <f t="shared" si="5"/>
        <v>1.9250703391085443E-3</v>
      </c>
      <c r="E10" s="8">
        <f t="shared" si="5"/>
        <v>2.4570273921164674E-3</v>
      </c>
      <c r="F10" s="8">
        <f t="shared" si="5"/>
        <v>2.3274679438332123E-3</v>
      </c>
      <c r="G10" s="8">
        <f t="shared" si="5"/>
        <v>5.490309642121354E-3</v>
      </c>
      <c r="H10" s="8">
        <f t="shared" si="5"/>
        <v>6.8475161867348495E-3</v>
      </c>
      <c r="I10" s="8">
        <f t="shared" si="5"/>
        <v>8.3230477118951835E-3</v>
      </c>
      <c r="J10" s="8">
        <f t="shared" si="5"/>
        <v>1.1950964387865722E-2</v>
      </c>
      <c r="K10" s="8">
        <f t="shared" si="5"/>
        <v>1.9029556266270418E-2</v>
      </c>
      <c r="L10" s="8">
        <f t="shared" si="5"/>
        <v>2.294322698719501E-2</v>
      </c>
      <c r="M10" s="8">
        <f t="shared" si="5"/>
        <v>2.5981892693765326E-2</v>
      </c>
      <c r="N10" s="8">
        <f t="shared" si="5"/>
        <v>2.5871041559121021E-2</v>
      </c>
      <c r="O10" s="8">
        <f t="shared" si="5"/>
        <v>2.5281421860712434E-2</v>
      </c>
      <c r="P10" s="8">
        <f t="shared" si="5"/>
        <v>2.4119976846234591E-2</v>
      </c>
      <c r="Q10" s="8">
        <f t="shared" si="5"/>
        <v>2.2994066949859563E-2</v>
      </c>
      <c r="R10" s="8">
        <f t="shared" si="5"/>
        <v>2.1903696912531839E-2</v>
      </c>
      <c r="S10" s="8">
        <f t="shared" si="0"/>
        <v>2.0393545350068272E-2</v>
      </c>
      <c r="T10" s="8">
        <f t="shared" si="1"/>
        <v>8.822868804699166E-2</v>
      </c>
      <c r="U10" s="8">
        <f t="shared" si="2"/>
        <v>0.12017020412845945</v>
      </c>
    </row>
    <row r="12" spans="1:22" x14ac:dyDescent="0.2">
      <c r="A12" s="187" t="s">
        <v>215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</row>
    <row r="13" spans="1:22" x14ac:dyDescent="0.2">
      <c r="A13" s="28" t="s">
        <v>207</v>
      </c>
      <c r="B13" s="69" t="s">
        <v>208</v>
      </c>
      <c r="C13" s="14">
        <f>DEMAND_FORECAST!C25</f>
        <v>26000</v>
      </c>
      <c r="D13" s="14">
        <f>DEMAND_FORECAST!D25</f>
        <v>26698.1</v>
      </c>
      <c r="E13" s="14">
        <f>DEMAND_FORECAST!E25</f>
        <v>27426.384299999998</v>
      </c>
      <c r="F13" s="14">
        <f>DEMAND_FORECAST!F25</f>
        <v>28186.442060900001</v>
      </c>
      <c r="G13" s="14">
        <f>DEMAND_FORECAST!G25</f>
        <v>28979.952929222702</v>
      </c>
      <c r="H13" s="14">
        <f>DEMAND_FORECAST!H25</f>
        <v>29808.692402208821</v>
      </c>
      <c r="I13" s="14">
        <f>DEMAND_FORECAST!I25</f>
        <v>30674.537518991405</v>
      </c>
      <c r="J13" s="14">
        <f>DEMAND_FORECAST!J25</f>
        <v>31579.472897987682</v>
      </c>
      <c r="K13" s="14">
        <f>DEMAND_FORECAST!K25</f>
        <v>32525.597141904094</v>
      </c>
      <c r="L13" s="14">
        <f>DEMAND_FORECAST!L25</f>
        <v>33515.129633086268</v>
      </c>
      <c r="M13" s="14">
        <f>DEMAND_FORECAST!M25</f>
        <v>34550.417743365826</v>
      </c>
      <c r="N13" s="14">
        <f>DEMAND_FORECAST!N25</f>
        <v>35633.944484065483</v>
      </c>
      <c r="O13" s="14">
        <f>DEMAND_FORECAST!O25</f>
        <v>36768.336623428273</v>
      </c>
      <c r="P13" s="14">
        <f>DEMAND_FORECAST!P25</f>
        <v>37956.373300442356</v>
      </c>
      <c r="Q13" s="14">
        <f>DEMAND_FORECAST!Q25</f>
        <v>39200.99516584583</v>
      </c>
      <c r="R13" s="14">
        <f>DEMAND_FORECAST!R25</f>
        <v>40505.314083022851</v>
      </c>
      <c r="S13" s="14">
        <f t="shared" ref="S13:S18" si="6">SUM(C13:H13)</f>
        <v>167099.57169233152</v>
      </c>
      <c r="T13" s="14">
        <f t="shared" ref="T13:T18" si="7">SUM(I13:M13)</f>
        <v>162845.15493533527</v>
      </c>
      <c r="U13" s="14">
        <f t="shared" ref="U13:U18" si="8">SUM(N13:R13)</f>
        <v>190064.96365680479</v>
      </c>
    </row>
    <row r="14" spans="1:22" x14ac:dyDescent="0.2">
      <c r="A14" s="10" t="s">
        <v>209</v>
      </c>
      <c r="B14" s="67" t="s">
        <v>208</v>
      </c>
      <c r="C14" s="36">
        <f>26000*(1+0.014)^0</f>
        <v>26000</v>
      </c>
      <c r="D14" s="36">
        <f>26000*(1+0.014)^1</f>
        <v>26364</v>
      </c>
      <c r="E14" s="36">
        <f>26000*(1+0.014)^2</f>
        <v>26733.096000000001</v>
      </c>
      <c r="F14" s="36">
        <f>26000*(1+0.014)^3</f>
        <v>27107.359344000004</v>
      </c>
      <c r="G14" s="36">
        <f>26000*(1+0.014)^4</f>
        <v>27486.862374816006</v>
      </c>
      <c r="H14" s="36">
        <f>26000*(1+0.014)^5</f>
        <v>27871.678448063434</v>
      </c>
      <c r="I14" s="36">
        <f>26000*(1+0.014)^6</f>
        <v>28261.881946336322</v>
      </c>
      <c r="J14" s="36">
        <f>26000*(1+0.014)^7</f>
        <v>28657.54829358503</v>
      </c>
      <c r="K14" s="36">
        <f>26000*(1+0.014)^8</f>
        <v>29058.753969695226</v>
      </c>
      <c r="L14" s="36">
        <f>26000*(1+0.014)^9</f>
        <v>29465.576525270964</v>
      </c>
      <c r="M14" s="36">
        <f>26000*(1+0.014)^10</f>
        <v>29878.09459662476</v>
      </c>
      <c r="N14" s="36">
        <f>26000*(1+0.014)^11</f>
        <v>30296.387920977504</v>
      </c>
      <c r="O14" s="36">
        <f>26000*(1+0.014)^12</f>
        <v>30720.537351871193</v>
      </c>
      <c r="P14" s="36">
        <f>26000*(1+0.014)^13</f>
        <v>31150.624874797391</v>
      </c>
      <c r="Q14" s="36">
        <f>26000*(1+0.014)^14</f>
        <v>31586.733623044554</v>
      </c>
      <c r="R14" s="36">
        <f>26000*(1+0.014)^15</f>
        <v>32028.947893767181</v>
      </c>
      <c r="S14" s="36">
        <f t="shared" si="6"/>
        <v>161562.99616687946</v>
      </c>
      <c r="T14" s="36">
        <f t="shared" si="7"/>
        <v>145321.85533151231</v>
      </c>
      <c r="U14" s="36">
        <f t="shared" si="8"/>
        <v>155783.23166445782</v>
      </c>
    </row>
    <row r="15" spans="1:22" x14ac:dyDescent="0.2">
      <c r="A15" s="28" t="s">
        <v>210</v>
      </c>
      <c r="B15" s="69" t="s">
        <v>208</v>
      </c>
      <c r="C15" s="14">
        <f t="shared" ref="C15:R15" si="9">C13-C14</f>
        <v>0</v>
      </c>
      <c r="D15" s="14">
        <f t="shared" si="9"/>
        <v>334.09999999999854</v>
      </c>
      <c r="E15" s="14">
        <f t="shared" si="9"/>
        <v>693.28829999999653</v>
      </c>
      <c r="F15" s="14">
        <f t="shared" si="9"/>
        <v>1079.0827168999967</v>
      </c>
      <c r="G15" s="14">
        <f t="shared" si="9"/>
        <v>1493.0905544066954</v>
      </c>
      <c r="H15" s="14">
        <f t="shared" si="9"/>
        <v>1937.0139541453864</v>
      </c>
      <c r="I15" s="14">
        <f t="shared" si="9"/>
        <v>2412.6555726550832</v>
      </c>
      <c r="J15" s="14">
        <f t="shared" si="9"/>
        <v>2921.9246044026513</v>
      </c>
      <c r="K15" s="14">
        <f t="shared" si="9"/>
        <v>3466.8431722088681</v>
      </c>
      <c r="L15" s="14">
        <f t="shared" si="9"/>
        <v>4049.5531078153035</v>
      </c>
      <c r="M15" s="14">
        <f t="shared" si="9"/>
        <v>4672.323146741066</v>
      </c>
      <c r="N15" s="14">
        <f t="shared" si="9"/>
        <v>5337.5565630879792</v>
      </c>
      <c r="O15" s="14">
        <f t="shared" si="9"/>
        <v>6047.7992715570799</v>
      </c>
      <c r="P15" s="14">
        <f t="shared" si="9"/>
        <v>6805.7484256449643</v>
      </c>
      <c r="Q15" s="14">
        <f t="shared" si="9"/>
        <v>7614.2615428012759</v>
      </c>
      <c r="R15" s="14">
        <f t="shared" si="9"/>
        <v>8476.3661892556702</v>
      </c>
      <c r="S15" s="14">
        <f t="shared" si="6"/>
        <v>5536.5755254520736</v>
      </c>
      <c r="T15" s="14">
        <f t="shared" si="7"/>
        <v>17523.299603822972</v>
      </c>
      <c r="U15" s="14">
        <f t="shared" si="8"/>
        <v>34281.731992346969</v>
      </c>
    </row>
    <row r="16" spans="1:22" x14ac:dyDescent="0.2">
      <c r="A16" s="10" t="s">
        <v>211</v>
      </c>
      <c r="B16" s="67" t="s">
        <v>208</v>
      </c>
      <c r="C16" s="36">
        <f>ARGENTINA_SUPPLY!C25</f>
        <v>35</v>
      </c>
      <c r="D16" s="36">
        <f>ARGENTINA_SUPPLY!D25</f>
        <v>52</v>
      </c>
      <c r="E16" s="36">
        <f>ARGENTINA_SUPPLY!E25</f>
        <v>69</v>
      </c>
      <c r="F16" s="36">
        <f>ARGENTINA_SUPPLY!F25</f>
        <v>68</v>
      </c>
      <c r="G16" s="36">
        <f>ARGENTINA_SUPPLY!G25</f>
        <v>167</v>
      </c>
      <c r="H16" s="36">
        <f>ARGENTINA_SUPPLY!H25</f>
        <v>217</v>
      </c>
      <c r="I16" s="36">
        <f>ARGENTINA_SUPPLY!I25</f>
        <v>275</v>
      </c>
      <c r="J16" s="36">
        <f>ARGENTINA_SUPPLY!J25</f>
        <v>312</v>
      </c>
      <c r="K16" s="36">
        <f>ARGENTINA_SUPPLY!K25</f>
        <v>350</v>
      </c>
      <c r="L16" s="36">
        <f>ARGENTINA_SUPPLY!L25</f>
        <v>350</v>
      </c>
      <c r="M16" s="36">
        <f>ARGENTINA_SUPPLY!M25</f>
        <v>350</v>
      </c>
      <c r="N16" s="36">
        <f>ARGENTINA_SUPPLY!N25</f>
        <v>350</v>
      </c>
      <c r="O16" s="36">
        <f>ARGENTINA_SUPPLY!O25</f>
        <v>350</v>
      </c>
      <c r="P16" s="36">
        <f>ARGENTINA_SUPPLY!P25</f>
        <v>350</v>
      </c>
      <c r="Q16" s="36">
        <f>ARGENTINA_SUPPLY!Q25</f>
        <v>350</v>
      </c>
      <c r="R16" s="36">
        <f>ARGENTINA_SUPPLY!R25</f>
        <v>350</v>
      </c>
      <c r="S16" s="36">
        <f t="shared" si="6"/>
        <v>608</v>
      </c>
      <c r="T16" s="36">
        <f t="shared" si="7"/>
        <v>1637</v>
      </c>
      <c r="U16" s="36">
        <f t="shared" si="8"/>
        <v>1750</v>
      </c>
    </row>
    <row r="17" spans="1:22" x14ac:dyDescent="0.2">
      <c r="A17" s="43" t="s">
        <v>212</v>
      </c>
      <c r="B17" s="69" t="s">
        <v>208</v>
      </c>
      <c r="C17" s="14">
        <f t="shared" ref="C17:R17" si="10">C15-C16</f>
        <v>-35</v>
      </c>
      <c r="D17" s="14">
        <f t="shared" si="10"/>
        <v>282.09999999999854</v>
      </c>
      <c r="E17" s="14">
        <f t="shared" si="10"/>
        <v>624.28829999999653</v>
      </c>
      <c r="F17" s="14">
        <f t="shared" si="10"/>
        <v>1011.0827168999967</v>
      </c>
      <c r="G17" s="14">
        <f t="shared" si="10"/>
        <v>1326.0905544066954</v>
      </c>
      <c r="H17" s="14">
        <f t="shared" si="10"/>
        <v>1720.0139541453864</v>
      </c>
      <c r="I17" s="14">
        <f t="shared" si="10"/>
        <v>2137.6555726550832</v>
      </c>
      <c r="J17" s="14">
        <f t="shared" si="10"/>
        <v>2609.9246044026513</v>
      </c>
      <c r="K17" s="14">
        <f t="shared" si="10"/>
        <v>3116.8431722088681</v>
      </c>
      <c r="L17" s="14">
        <f t="shared" si="10"/>
        <v>3699.5531078153035</v>
      </c>
      <c r="M17" s="14">
        <f t="shared" si="10"/>
        <v>4322.323146741066</v>
      </c>
      <c r="N17" s="14">
        <f t="shared" si="10"/>
        <v>4987.5565630879792</v>
      </c>
      <c r="O17" s="14">
        <f t="shared" si="10"/>
        <v>5697.7992715570799</v>
      </c>
      <c r="P17" s="14">
        <f t="shared" si="10"/>
        <v>6455.7484256449643</v>
      </c>
      <c r="Q17" s="14">
        <f t="shared" si="10"/>
        <v>7264.2615428012759</v>
      </c>
      <c r="R17" s="14">
        <f t="shared" si="10"/>
        <v>8126.3661892556702</v>
      </c>
      <c r="S17" s="14">
        <f t="shared" si="6"/>
        <v>4928.5755254520736</v>
      </c>
      <c r="T17" s="14">
        <f t="shared" si="7"/>
        <v>15886.299603822972</v>
      </c>
      <c r="U17" s="14">
        <f t="shared" si="8"/>
        <v>32531.731992346969</v>
      </c>
    </row>
    <row r="18" spans="1:22" x14ac:dyDescent="0.2">
      <c r="A18" s="68" t="s">
        <v>213</v>
      </c>
      <c r="B18" s="67" t="s">
        <v>214</v>
      </c>
      <c r="C18" s="8">
        <f t="shared" ref="C18:R18" si="11">IF(C13&gt;0,C16/C13,0)</f>
        <v>1.3461538461538461E-3</v>
      </c>
      <c r="D18" s="8">
        <f t="shared" si="11"/>
        <v>1.9477041437405659E-3</v>
      </c>
      <c r="E18" s="8">
        <f t="shared" si="11"/>
        <v>2.5158256095755213E-3</v>
      </c>
      <c r="F18" s="8">
        <f t="shared" si="11"/>
        <v>2.4125073981695988E-3</v>
      </c>
      <c r="G18" s="8">
        <f t="shared" si="11"/>
        <v>5.7626042529420789E-3</v>
      </c>
      <c r="H18" s="8">
        <f t="shared" si="11"/>
        <v>7.2797557528528267E-3</v>
      </c>
      <c r="I18" s="8">
        <f t="shared" si="11"/>
        <v>8.9650903401474382E-3</v>
      </c>
      <c r="J18" s="8">
        <f t="shared" si="11"/>
        <v>9.8798355820524601E-3</v>
      </c>
      <c r="K18" s="8">
        <f t="shared" si="11"/>
        <v>1.0760755551174195E-2</v>
      </c>
      <c r="L18" s="8">
        <f t="shared" si="11"/>
        <v>1.0443044792954602E-2</v>
      </c>
      <c r="M18" s="8">
        <f t="shared" si="11"/>
        <v>1.0130123537137405E-2</v>
      </c>
      <c r="N18" s="8">
        <f t="shared" si="11"/>
        <v>9.8220953382388062E-3</v>
      </c>
      <c r="O18" s="8">
        <f t="shared" si="11"/>
        <v>9.5190599342202739E-3</v>
      </c>
      <c r="P18" s="8">
        <f t="shared" si="11"/>
        <v>9.2211128083704713E-3</v>
      </c>
      <c r="Q18" s="8">
        <f t="shared" si="11"/>
        <v>8.9283447657201361E-3</v>
      </c>
      <c r="R18" s="8">
        <f t="shared" si="11"/>
        <v>8.6408415271786981E-3</v>
      </c>
      <c r="S18" s="8">
        <f t="shared" si="6"/>
        <v>2.126455100343444E-2</v>
      </c>
      <c r="T18" s="8">
        <f t="shared" si="7"/>
        <v>5.0178849803466097E-2</v>
      </c>
      <c r="U18" s="8">
        <f t="shared" si="8"/>
        <v>4.6131454373728391E-2</v>
      </c>
    </row>
    <row r="20" spans="1:22" x14ac:dyDescent="0.2">
      <c r="A20" s="194" t="s">
        <v>216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</row>
    <row r="21" spans="1:22" x14ac:dyDescent="0.2">
      <c r="A21" s="29" t="s">
        <v>207</v>
      </c>
      <c r="B21" s="70" t="s">
        <v>208</v>
      </c>
      <c r="C21" s="51">
        <f>DEMAND_FORECAST!C36</f>
        <v>26000</v>
      </c>
      <c r="D21" s="51">
        <f>DEMAND_FORECAST!D36</f>
        <v>26371.3</v>
      </c>
      <c r="E21" s="51">
        <f>DEMAND_FORECAST!E36</f>
        <v>26753.009499999996</v>
      </c>
      <c r="F21" s="51">
        <f>DEMAND_FORECAST!F36</f>
        <v>27145.479396699997</v>
      </c>
      <c r="G21" s="51">
        <f>DEMAND_FORECAST!G36</f>
        <v>27549.073255583498</v>
      </c>
      <c r="H21" s="51">
        <f>DEMAND_FORECAST!H36</f>
        <v>27964.167784709694</v>
      </c>
      <c r="I21" s="51">
        <f>DEMAND_FORECAST!I36</f>
        <v>28391.153326578173</v>
      </c>
      <c r="J21" s="51">
        <f>DEMAND_FORECAST!J36</f>
        <v>28830.434368763439</v>
      </c>
      <c r="K21" s="51">
        <f>DEMAND_FORECAST!K36</f>
        <v>29282.430074043768</v>
      </c>
      <c r="L21" s="51">
        <f>DEMAND_FORECAST!L36</f>
        <v>29747.574830777026</v>
      </c>
      <c r="M21" s="51">
        <f>DEMAND_FORECAST!M36</f>
        <v>30226.318824305217</v>
      </c>
      <c r="N21" s="51">
        <f>DEMAND_FORECAST!N36</f>
        <v>30719.128630200248</v>
      </c>
      <c r="O21" s="51">
        <f>DEMAND_FORECAST!O36</f>
        <v>31226.487830194572</v>
      </c>
      <c r="P21" s="51">
        <f>DEMAND_FORECAST!P36</f>
        <v>31748.897651673491</v>
      </c>
      <c r="Q21" s="51">
        <f>DEMAND_FORECAST!Q36</f>
        <v>32286.877631639974</v>
      </c>
      <c r="R21" s="51">
        <f>DEMAND_FORECAST!R36</f>
        <v>32840.966306098075</v>
      </c>
      <c r="S21" s="51">
        <f t="shared" ref="S21:S26" si="12">SUM(C21:H21)</f>
        <v>161783.02993699317</v>
      </c>
      <c r="T21" s="51">
        <f t="shared" ref="T21:T26" si="13">SUM(I21:M21)</f>
        <v>146477.91142446763</v>
      </c>
      <c r="U21" s="51">
        <f t="shared" ref="U21:U26" si="14">SUM(N21:R21)</f>
        <v>158822.35804980635</v>
      </c>
    </row>
    <row r="22" spans="1:22" x14ac:dyDescent="0.2">
      <c r="A22" s="10" t="s">
        <v>209</v>
      </c>
      <c r="B22" s="67" t="s">
        <v>208</v>
      </c>
      <c r="C22" s="36">
        <f>26000*(1+0.007)^0</f>
        <v>26000</v>
      </c>
      <c r="D22" s="36">
        <f>26000*(1+0.007)^1</f>
        <v>26181.999999999996</v>
      </c>
      <c r="E22" s="36">
        <f>26000*(1+0.007)^2</f>
        <v>26365.273999999994</v>
      </c>
      <c r="F22" s="36">
        <f>26000*(1+0.007)^3</f>
        <v>26549.830917999989</v>
      </c>
      <c r="G22" s="36">
        <f>26000*(1+0.007)^4</f>
        <v>26735.679734425987</v>
      </c>
      <c r="H22" s="36">
        <f>26000*(1+0.007)^5</f>
        <v>26922.829492566969</v>
      </c>
      <c r="I22" s="36">
        <f>26000*(1+0.007)^6</f>
        <v>27111.28929901493</v>
      </c>
      <c r="J22" s="36">
        <f>26000*(1+0.007)^7</f>
        <v>27301.06832410803</v>
      </c>
      <c r="K22" s="36">
        <f>26000*(1+0.007)^8</f>
        <v>27492.175802376787</v>
      </c>
      <c r="L22" s="36">
        <f>26000*(1+0.007)^9</f>
        <v>27684.621032993422</v>
      </c>
      <c r="M22" s="36">
        <f>26000*(1+0.007)^10</f>
        <v>27878.41338022437</v>
      </c>
      <c r="N22" s="36">
        <f>26000*(1+0.007)^11</f>
        <v>28073.562273885938</v>
      </c>
      <c r="O22" s="36">
        <f>26000*(1+0.007)^12</f>
        <v>28270.077209803138</v>
      </c>
      <c r="P22" s="36">
        <f>26000*(1+0.007)^13</f>
        <v>28467.967750271757</v>
      </c>
      <c r="Q22" s="36">
        <f>26000*(1+0.007)^14</f>
        <v>28667.243524523656</v>
      </c>
      <c r="R22" s="36">
        <f>26000*(1+0.007)^15</f>
        <v>28867.914229195314</v>
      </c>
      <c r="S22" s="36">
        <f t="shared" si="12"/>
        <v>158755.61414499293</v>
      </c>
      <c r="T22" s="36">
        <f t="shared" si="13"/>
        <v>137467.56783871754</v>
      </c>
      <c r="U22" s="36">
        <f t="shared" si="14"/>
        <v>142346.76498767981</v>
      </c>
    </row>
    <row r="23" spans="1:22" x14ac:dyDescent="0.2">
      <c r="A23" s="29" t="s">
        <v>210</v>
      </c>
      <c r="B23" s="70" t="s">
        <v>208</v>
      </c>
      <c r="C23" s="51">
        <f t="shared" ref="C23:R23" si="15">C21-C22</f>
        <v>0</v>
      </c>
      <c r="D23" s="51">
        <f t="shared" si="15"/>
        <v>189.30000000000291</v>
      </c>
      <c r="E23" s="51">
        <f t="shared" si="15"/>
        <v>387.7355000000025</v>
      </c>
      <c r="F23" s="51">
        <f t="shared" si="15"/>
        <v>595.64847870000813</v>
      </c>
      <c r="G23" s="51">
        <f t="shared" si="15"/>
        <v>813.39352115751171</v>
      </c>
      <c r="H23" s="51">
        <f t="shared" si="15"/>
        <v>1041.3382921427255</v>
      </c>
      <c r="I23" s="51">
        <f t="shared" si="15"/>
        <v>1279.8640275632424</v>
      </c>
      <c r="J23" s="51">
        <f t="shared" si="15"/>
        <v>1529.3660446554095</v>
      </c>
      <c r="K23" s="51">
        <f t="shared" si="15"/>
        <v>1790.2542716669814</v>
      </c>
      <c r="L23" s="51">
        <f t="shared" si="15"/>
        <v>2062.9537977836044</v>
      </c>
      <c r="M23" s="51">
        <f t="shared" si="15"/>
        <v>2347.9054440808468</v>
      </c>
      <c r="N23" s="51">
        <f t="shared" si="15"/>
        <v>2645.5663563143098</v>
      </c>
      <c r="O23" s="51">
        <f t="shared" si="15"/>
        <v>2956.4106203914343</v>
      </c>
      <c r="P23" s="51">
        <f t="shared" si="15"/>
        <v>3280.9299014017342</v>
      </c>
      <c r="Q23" s="51">
        <f t="shared" si="15"/>
        <v>3619.6341071163188</v>
      </c>
      <c r="R23" s="51">
        <f t="shared" si="15"/>
        <v>3973.0520769027607</v>
      </c>
      <c r="S23" s="51">
        <f t="shared" si="12"/>
        <v>3027.4157920002508</v>
      </c>
      <c r="T23" s="51">
        <f t="shared" si="13"/>
        <v>9010.3435857500845</v>
      </c>
      <c r="U23" s="51">
        <f t="shared" si="14"/>
        <v>16475.593062126558</v>
      </c>
    </row>
    <row r="24" spans="1:22" x14ac:dyDescent="0.2">
      <c r="A24" s="10" t="s">
        <v>211</v>
      </c>
      <c r="B24" s="67" t="s">
        <v>208</v>
      </c>
      <c r="C24" s="36">
        <f>ARGENTINA_SUPPLY!C14</f>
        <v>35</v>
      </c>
      <c r="D24" s="36">
        <f>ARGENTINA_SUPPLY!D14</f>
        <v>52</v>
      </c>
      <c r="E24" s="36">
        <f>ARGENTINA_SUPPLY!E14</f>
        <v>69</v>
      </c>
      <c r="F24" s="36">
        <f>ARGENTINA_SUPPLY!F14</f>
        <v>68</v>
      </c>
      <c r="G24" s="36">
        <f>ARGENTINA_SUPPLY!G14</f>
        <v>67</v>
      </c>
      <c r="H24" s="36">
        <f>ARGENTINA_SUPPLY!H14</f>
        <v>67</v>
      </c>
      <c r="I24" s="36">
        <f>ARGENTINA_SUPPLY!I14</f>
        <v>0</v>
      </c>
      <c r="J24" s="36">
        <f>ARGENTINA_SUPPLY!J14</f>
        <v>0</v>
      </c>
      <c r="K24" s="36">
        <f>ARGENTINA_SUPPLY!K14</f>
        <v>0</v>
      </c>
      <c r="L24" s="36">
        <f>ARGENTINA_SUPPLY!L14</f>
        <v>0</v>
      </c>
      <c r="M24" s="36">
        <f>ARGENTINA_SUPPLY!M14</f>
        <v>0</v>
      </c>
      <c r="N24" s="36">
        <f>ARGENTINA_SUPPLY!N14</f>
        <v>0</v>
      </c>
      <c r="O24" s="36">
        <f>ARGENTINA_SUPPLY!O14</f>
        <v>0</v>
      </c>
      <c r="P24" s="36">
        <f>ARGENTINA_SUPPLY!P14</f>
        <v>0</v>
      </c>
      <c r="Q24" s="36">
        <f>ARGENTINA_SUPPLY!Q14</f>
        <v>0</v>
      </c>
      <c r="R24" s="36">
        <f>ARGENTINA_SUPPLY!R14</f>
        <v>0</v>
      </c>
      <c r="S24" s="36">
        <f t="shared" si="12"/>
        <v>358</v>
      </c>
      <c r="T24" s="36">
        <f t="shared" si="13"/>
        <v>0</v>
      </c>
      <c r="U24" s="36">
        <f t="shared" si="14"/>
        <v>0</v>
      </c>
    </row>
    <row r="25" spans="1:22" x14ac:dyDescent="0.2">
      <c r="A25" s="50" t="s">
        <v>212</v>
      </c>
      <c r="B25" s="70" t="s">
        <v>208</v>
      </c>
      <c r="C25" s="51">
        <f t="shared" ref="C25:R25" si="16">C23-C24</f>
        <v>-35</v>
      </c>
      <c r="D25" s="51">
        <f t="shared" si="16"/>
        <v>137.30000000000291</v>
      </c>
      <c r="E25" s="51">
        <f t="shared" si="16"/>
        <v>318.7355000000025</v>
      </c>
      <c r="F25" s="51">
        <f t="shared" si="16"/>
        <v>527.64847870000813</v>
      </c>
      <c r="G25" s="51">
        <f t="shared" si="16"/>
        <v>746.39352115751171</v>
      </c>
      <c r="H25" s="51">
        <f t="shared" si="16"/>
        <v>974.33829214272555</v>
      </c>
      <c r="I25" s="51">
        <f t="shared" si="16"/>
        <v>1279.8640275632424</v>
      </c>
      <c r="J25" s="51">
        <f t="shared" si="16"/>
        <v>1529.3660446554095</v>
      </c>
      <c r="K25" s="51">
        <f t="shared" si="16"/>
        <v>1790.2542716669814</v>
      </c>
      <c r="L25" s="51">
        <f t="shared" si="16"/>
        <v>2062.9537977836044</v>
      </c>
      <c r="M25" s="51">
        <f t="shared" si="16"/>
        <v>2347.9054440808468</v>
      </c>
      <c r="N25" s="51">
        <f t="shared" si="16"/>
        <v>2645.5663563143098</v>
      </c>
      <c r="O25" s="51">
        <f t="shared" si="16"/>
        <v>2956.4106203914343</v>
      </c>
      <c r="P25" s="51">
        <f t="shared" si="16"/>
        <v>3280.9299014017342</v>
      </c>
      <c r="Q25" s="51">
        <f t="shared" si="16"/>
        <v>3619.6341071163188</v>
      </c>
      <c r="R25" s="51">
        <f t="shared" si="16"/>
        <v>3973.0520769027607</v>
      </c>
      <c r="S25" s="51">
        <f t="shared" si="12"/>
        <v>2669.4157920002508</v>
      </c>
      <c r="T25" s="51">
        <f t="shared" si="13"/>
        <v>9010.3435857500845</v>
      </c>
      <c r="U25" s="51">
        <f t="shared" si="14"/>
        <v>16475.593062126558</v>
      </c>
    </row>
    <row r="26" spans="1:22" x14ac:dyDescent="0.2">
      <c r="A26" s="68" t="s">
        <v>213</v>
      </c>
      <c r="B26" s="67" t="s">
        <v>214</v>
      </c>
      <c r="C26" s="8">
        <f t="shared" ref="C26:R26" si="17">IF(C21&gt;0,C24/C21,0)</f>
        <v>1.3461538461538461E-3</v>
      </c>
      <c r="D26" s="8">
        <f t="shared" si="17"/>
        <v>1.9718405994395422E-3</v>
      </c>
      <c r="E26" s="8">
        <f t="shared" si="17"/>
        <v>2.5791490860121741E-3</v>
      </c>
      <c r="F26" s="8">
        <f t="shared" si="17"/>
        <v>2.5050211494244811E-3</v>
      </c>
      <c r="G26" s="8">
        <f t="shared" si="17"/>
        <v>2.4320237337356093E-3</v>
      </c>
      <c r="H26" s="8">
        <f t="shared" si="17"/>
        <v>2.3959232585006301E-3</v>
      </c>
      <c r="I26" s="8">
        <f t="shared" si="17"/>
        <v>0</v>
      </c>
      <c r="J26" s="8">
        <f t="shared" si="17"/>
        <v>0</v>
      </c>
      <c r="K26" s="8">
        <f t="shared" si="17"/>
        <v>0</v>
      </c>
      <c r="L26" s="8">
        <f t="shared" si="17"/>
        <v>0</v>
      </c>
      <c r="M26" s="8">
        <f t="shared" si="17"/>
        <v>0</v>
      </c>
      <c r="N26" s="8">
        <f t="shared" si="17"/>
        <v>0</v>
      </c>
      <c r="O26" s="8">
        <f t="shared" si="17"/>
        <v>0</v>
      </c>
      <c r="P26" s="8">
        <f t="shared" si="17"/>
        <v>0</v>
      </c>
      <c r="Q26" s="8">
        <f t="shared" si="17"/>
        <v>0</v>
      </c>
      <c r="R26" s="8">
        <f t="shared" si="17"/>
        <v>0</v>
      </c>
      <c r="S26" s="8">
        <f t="shared" si="12"/>
        <v>1.3230111673266282E-2</v>
      </c>
      <c r="T26" s="8">
        <f t="shared" si="13"/>
        <v>0</v>
      </c>
      <c r="U26" s="8">
        <f t="shared" si="14"/>
        <v>0</v>
      </c>
    </row>
    <row r="28" spans="1:22" ht="35" customHeight="1" x14ac:dyDescent="0.2">
      <c r="A28" s="195" t="s">
        <v>217</v>
      </c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</row>
  </sheetData>
  <mergeCells count="6">
    <mergeCell ref="A1:V1"/>
    <mergeCell ref="A2:V2"/>
    <mergeCell ref="A12:U12"/>
    <mergeCell ref="A4:U4"/>
    <mergeCell ref="A28:V28"/>
    <mergeCell ref="A20:U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36C0A"/>
  </sheetPr>
  <dimension ref="A1:V26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18" width="7.5" customWidth="1"/>
    <col min="19" max="21" width="10" customWidth="1"/>
    <col min="22" max="22" width="11" customWidth="1"/>
  </cols>
  <sheetData>
    <row r="1" spans="1:22" ht="17" x14ac:dyDescent="0.2">
      <c r="A1" s="191" t="s">
        <v>218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2"/>
    </row>
    <row r="2" spans="1:22" ht="30" customHeight="1" x14ac:dyDescent="0.2">
      <c r="A2" s="195" t="s">
        <v>219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2" x14ac:dyDescent="0.2">
      <c r="A3" s="19" t="s">
        <v>220</v>
      </c>
      <c r="B3" s="5" t="s">
        <v>123</v>
      </c>
      <c r="C3" s="5" t="s">
        <v>158</v>
      </c>
      <c r="D3" s="5" t="s">
        <v>159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165</v>
      </c>
      <c r="K3" s="5" t="s">
        <v>166</v>
      </c>
      <c r="L3" s="5" t="s">
        <v>167</v>
      </c>
      <c r="M3" s="5" t="s">
        <v>168</v>
      </c>
      <c r="N3" s="5" t="s">
        <v>169</v>
      </c>
      <c r="O3" s="5" t="s">
        <v>170</v>
      </c>
      <c r="P3" s="5" t="s">
        <v>171</v>
      </c>
      <c r="Q3" s="5" t="s">
        <v>172</v>
      </c>
      <c r="R3" s="5" t="s">
        <v>173</v>
      </c>
      <c r="S3" s="5" t="s">
        <v>221</v>
      </c>
      <c r="T3" s="5" t="s">
        <v>222</v>
      </c>
      <c r="U3" s="5" t="s">
        <v>223</v>
      </c>
      <c r="V3" s="5" t="s">
        <v>224</v>
      </c>
    </row>
    <row r="4" spans="1:22" x14ac:dyDescent="0.2">
      <c r="A4" s="168" t="s">
        <v>225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pans="1:22" x14ac:dyDescent="0.2">
      <c r="A5" s="29" t="s">
        <v>226</v>
      </c>
      <c r="B5" s="71"/>
      <c r="C5" s="72">
        <f>(ARGENTINA_SUPPLY!C14*(PARAMETERS!$B$51*(1-0)+PARAMETERS!$C$51*0))/1000</f>
        <v>273</v>
      </c>
      <c r="D5" s="72">
        <f>(ARGENTINA_SUPPLY!D14*(PARAMETERS!$B$51*(1-0.2)+PARAMETERS!$C$51*0.2))/1000</f>
        <v>402.48</v>
      </c>
      <c r="E5" s="72">
        <f>(ARGENTINA_SUPPLY!E14*(PARAMETERS!$B$51*(1-0.4)+PARAMETERS!$C$51*0.4))/1000</f>
        <v>529.91999999999996</v>
      </c>
      <c r="F5" s="72">
        <f>(ARGENTINA_SUPPLY!F14*(PARAMETERS!$B$51*(1-0.6)+PARAMETERS!$C$51*0.6))/1000</f>
        <v>518.16</v>
      </c>
      <c r="G5" s="72">
        <f>(ARGENTINA_SUPPLY!G14*(PARAMETERS!$B$51*(1-0.8)+PARAMETERS!$C$51*0.8))/1000</f>
        <v>506.52</v>
      </c>
      <c r="H5" s="72">
        <f>(ARGENTINA_SUPPLY!H14*(PARAMETERS!$B$51*(1-1)+PARAMETERS!$C$51*1))/1000</f>
        <v>502.5</v>
      </c>
      <c r="I5" s="72">
        <f>(ARGENTINA_SUPPLY!I14*(PARAMETERS!$C$51*(1-0.2)+PARAMETERS!$D$51*0.2))/1000</f>
        <v>0</v>
      </c>
      <c r="J5" s="72">
        <f>(ARGENTINA_SUPPLY!J14*(PARAMETERS!$C$51*(1-0.4)+PARAMETERS!$D$51*0.4))/1000</f>
        <v>0</v>
      </c>
      <c r="K5" s="72">
        <f>(ARGENTINA_SUPPLY!K14*(PARAMETERS!$C$51*(1-0.6)+PARAMETERS!$D$51*0.6))/1000</f>
        <v>0</v>
      </c>
      <c r="L5" s="72">
        <f>(ARGENTINA_SUPPLY!L14*(PARAMETERS!$C$51*(1-0.8)+PARAMETERS!$D$51*0.8))/1000</f>
        <v>0</v>
      </c>
      <c r="M5" s="72">
        <f>(ARGENTINA_SUPPLY!M14*(PARAMETERS!$C$51*(1-1)+PARAMETERS!$D$51*1))/1000</f>
        <v>0</v>
      </c>
      <c r="N5" s="72">
        <f>(ARGENTINA_SUPPLY!N14*(PARAMETERS!$D$51*(1-0.2)+PARAMETERS!$E$51*0.2))/1000</f>
        <v>0</v>
      </c>
      <c r="O5" s="72">
        <f>(ARGENTINA_SUPPLY!O14*(PARAMETERS!$D$51*(1-0.4)+PARAMETERS!$E$51*0.4))/1000</f>
        <v>0</v>
      </c>
      <c r="P5" s="72">
        <f>(ARGENTINA_SUPPLY!P14*(PARAMETERS!$D$51*(1-0.6)+PARAMETERS!$E$51*0.6))/1000</f>
        <v>0</v>
      </c>
      <c r="Q5" s="72">
        <f>(ARGENTINA_SUPPLY!Q14*(PARAMETERS!$D$51*(1-0.8)+PARAMETERS!$E$51*0.8))/1000</f>
        <v>0</v>
      </c>
      <c r="R5" s="72">
        <f>(ARGENTINA_SUPPLY!R14*(PARAMETERS!$D$51*(1-1)+PARAMETERS!$E$51*1))/1000</f>
        <v>0</v>
      </c>
      <c r="S5" s="72">
        <f>SUM(C5:H5)</f>
        <v>2732.58</v>
      </c>
      <c r="T5" s="72">
        <f>SUM(I5:M5)</f>
        <v>0</v>
      </c>
      <c r="U5" s="72">
        <f>SUM(N5:R5)</f>
        <v>0</v>
      </c>
      <c r="V5" s="72">
        <f>SUM(C5:R5)</f>
        <v>2732.58</v>
      </c>
    </row>
    <row r="6" spans="1:22" x14ac:dyDescent="0.2">
      <c r="A6" s="28" t="s">
        <v>227</v>
      </c>
      <c r="B6" s="16"/>
      <c r="C6" s="73">
        <f>(ARGENTINA_SUPPLY!C25*(PARAMETERS!$B$50*(1-0)+PARAMETERS!$C$50*0))/1000</f>
        <v>322</v>
      </c>
      <c r="D6" s="73">
        <f>(ARGENTINA_SUPPLY!D25*(PARAMETERS!$B$50*(1-0.2)+PARAMETERS!$C$50*0.2))/1000</f>
        <v>484.64</v>
      </c>
      <c r="E6" s="73">
        <f>(ARGENTINA_SUPPLY!E25*(PARAMETERS!$B$50*(1-0.4)+PARAMETERS!$C$50*0.4))/1000</f>
        <v>651.36</v>
      </c>
      <c r="F6" s="73">
        <f>(ARGENTINA_SUPPLY!F25*(PARAMETERS!$B$50*(1-0.6)+PARAMETERS!$C$50*0.6))/1000</f>
        <v>650.08000000000004</v>
      </c>
      <c r="G6" s="73">
        <f>(ARGENTINA_SUPPLY!G25*(PARAMETERS!$B$50*(1-0.8)+PARAMETERS!$C$50*0.8))/1000</f>
        <v>1616.56</v>
      </c>
      <c r="H6" s="73">
        <f>(ARGENTINA_SUPPLY!H25*(PARAMETERS!$B$50*(1-1)+PARAMETERS!$C$50*1))/1000</f>
        <v>2126.6</v>
      </c>
      <c r="I6" s="73">
        <f>(ARGENTINA_SUPPLY!I25*(PARAMETERS!$C$50*(1-0.2)+PARAMETERS!$D$50*0.2))/1000</f>
        <v>2717</v>
      </c>
      <c r="J6" s="73">
        <f>(ARGENTINA_SUPPLY!J25*(PARAMETERS!$C$50*(1-0.4)+PARAMETERS!$D$50*0.4))/1000</f>
        <v>3107.52</v>
      </c>
      <c r="K6" s="73">
        <f>(ARGENTINA_SUPPLY!K25*(PARAMETERS!$C$50*(1-0.6)+PARAMETERS!$D$50*0.6))/1000</f>
        <v>3514</v>
      </c>
      <c r="L6" s="73">
        <f>(ARGENTINA_SUPPLY!L25*(PARAMETERS!$C$50*(1-0.8)+PARAMETERS!$D$50*0.8))/1000</f>
        <v>3542</v>
      </c>
      <c r="M6" s="73">
        <f>(ARGENTINA_SUPPLY!M25*(PARAMETERS!$C$50*(1-1)+PARAMETERS!$D$50*1))/1000</f>
        <v>3570</v>
      </c>
      <c r="N6" s="73">
        <f>(ARGENTINA_SUPPLY!N25*(PARAMETERS!$D$50*(1-0.2)+PARAMETERS!$E$50*0.2))/1000</f>
        <v>3591</v>
      </c>
      <c r="O6" s="73">
        <f>(ARGENTINA_SUPPLY!O25*(PARAMETERS!$D$50*(1-0.4)+PARAMETERS!$E$50*0.4))/1000</f>
        <v>3612</v>
      </c>
      <c r="P6" s="73">
        <f>(ARGENTINA_SUPPLY!P25*(PARAMETERS!$D$50*(1-0.6)+PARAMETERS!$E$50*0.6))/1000</f>
        <v>3633</v>
      </c>
      <c r="Q6" s="73">
        <f>(ARGENTINA_SUPPLY!Q25*(PARAMETERS!$D$50*(1-0.8)+PARAMETERS!$E$50*0.8))/1000</f>
        <v>3654</v>
      </c>
      <c r="R6" s="73">
        <f>(ARGENTINA_SUPPLY!R25*(PARAMETERS!$D$50*(1-1)+PARAMETERS!$E$50*1))/1000</f>
        <v>3675</v>
      </c>
      <c r="S6" s="73">
        <f>SUM(C6:H6)</f>
        <v>5851.24</v>
      </c>
      <c r="T6" s="73">
        <f>SUM(I6:M6)</f>
        <v>16450.52</v>
      </c>
      <c r="U6" s="73">
        <f>SUM(N6:R6)</f>
        <v>18165</v>
      </c>
      <c r="V6" s="73">
        <f>SUM(C6:R6)</f>
        <v>40466.76</v>
      </c>
    </row>
    <row r="7" spans="1:22" x14ac:dyDescent="0.2">
      <c r="A7" s="26" t="s">
        <v>228</v>
      </c>
      <c r="B7" s="74"/>
      <c r="C7" s="75">
        <f>(ARGENTINA_SUPPLY!C36*(PARAMETERS!$B$49*(1-0)+PARAMETERS!$C$49*0))/1000</f>
        <v>367.5</v>
      </c>
      <c r="D7" s="75">
        <f>(ARGENTINA_SUPPLY!D36*(PARAMETERS!$B$49*(1-0.2)+PARAMETERS!$C$49*0.2))/1000</f>
        <v>561.6</v>
      </c>
      <c r="E7" s="75">
        <f>(ARGENTINA_SUPPLY!E36*(PARAMETERS!$B$49*(1-0.4)+PARAMETERS!$C$49*0.4))/1000</f>
        <v>765.9</v>
      </c>
      <c r="F7" s="75">
        <f>(ARGENTINA_SUPPLY!F36*(PARAMETERS!$B$49*(1-0.6)+PARAMETERS!$C$49*0.6))/1000</f>
        <v>775.2</v>
      </c>
      <c r="G7" s="75">
        <f>(ARGENTINA_SUPPLY!G36*(PARAMETERS!$B$49*(1-0.8)+PARAMETERS!$C$49*0.8))/1000</f>
        <v>1953.9</v>
      </c>
      <c r="H7" s="75">
        <f>(ARGENTINA_SUPPLY!H36*(PARAMETERS!$B$49*(1-1)+PARAMETERS!$C$49*1))/1000</f>
        <v>2604</v>
      </c>
      <c r="I7" s="75">
        <f>(ARGENTINA_SUPPLY!I36*(PARAMETERS!$C$49*(1-0.2)+PARAMETERS!$D$49*0.2))/1000</f>
        <v>3355</v>
      </c>
      <c r="J7" s="75">
        <f>(ARGENTINA_SUPPLY!J36*(PARAMETERS!$C$49*(1-0.4)+PARAMETERS!$D$49*0.4))/1000</f>
        <v>5108.8</v>
      </c>
      <c r="K7" s="75">
        <f>(ARGENTINA_SUPPLY!K36*(PARAMETERS!$C$49*(1-0.6)+PARAMETERS!$D$49*0.6))/1000</f>
        <v>8631</v>
      </c>
      <c r="L7" s="75">
        <f>(ARGENTINA_SUPPLY!L36*(PARAMETERS!$C$49*(1-0.8)+PARAMETERS!$D$49*0.8))/1000</f>
        <v>11046.4</v>
      </c>
      <c r="M7" s="75">
        <f>(ARGENTINA_SUPPLY!M36*(PARAMETERS!$C$49*(1-1)+PARAMETERS!$D$49*1))/1000</f>
        <v>13286</v>
      </c>
      <c r="N7" s="75">
        <f>(ARGENTINA_SUPPLY!N36*(PARAMETERS!$D$49*(1-0.2)+PARAMETERS!$E$49*0.2))/1000</f>
        <v>14058</v>
      </c>
      <c r="O7" s="75">
        <f>(ARGENTINA_SUPPLY!O36*(PARAMETERS!$D$49*(1-0.4)+PARAMETERS!$E$49*0.4))/1000</f>
        <v>14606</v>
      </c>
      <c r="P7" s="75">
        <f>(ARGENTINA_SUPPLY!P36*(PARAMETERS!$D$49*(1-0.6)+PARAMETERS!$E$49*0.6))/1000</f>
        <v>14824</v>
      </c>
      <c r="Q7" s="75">
        <f>(ARGENTINA_SUPPLY!Q36*(PARAMETERS!$D$49*(1-0.8)+PARAMETERS!$E$49*0.8))/1000</f>
        <v>15042</v>
      </c>
      <c r="R7" s="75">
        <f>(ARGENTINA_SUPPLY!R36*(PARAMETERS!$D$49*(1-1)+PARAMETERS!$E$49*1))/1000</f>
        <v>15260</v>
      </c>
      <c r="S7" s="75">
        <f>SUM(C7:H7)</f>
        <v>7028.1</v>
      </c>
      <c r="T7" s="75">
        <f>SUM(I7:M7)</f>
        <v>41427.199999999997</v>
      </c>
      <c r="U7" s="75">
        <f>SUM(N7:R7)</f>
        <v>73790</v>
      </c>
      <c r="V7" s="75">
        <f>SUM(C7:R7)</f>
        <v>122245.3</v>
      </c>
    </row>
    <row r="9" spans="1:22" x14ac:dyDescent="0.2">
      <c r="A9" s="168" t="s">
        <v>229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</row>
    <row r="10" spans="1:22" x14ac:dyDescent="0.2">
      <c r="A10" s="187" t="s">
        <v>230</v>
      </c>
      <c r="B10" s="169"/>
      <c r="C10" s="188" t="s">
        <v>231</v>
      </c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</row>
    <row r="11" spans="1:22" x14ac:dyDescent="0.2">
      <c r="A11" s="19" t="s">
        <v>232</v>
      </c>
      <c r="B11" s="5" t="s">
        <v>91</v>
      </c>
      <c r="C11" s="5" t="s">
        <v>158</v>
      </c>
      <c r="D11" s="5" t="s">
        <v>159</v>
      </c>
      <c r="E11" s="5" t="s">
        <v>160</v>
      </c>
      <c r="F11" s="5" t="s">
        <v>161</v>
      </c>
      <c r="G11" s="5" t="s">
        <v>162</v>
      </c>
      <c r="H11" s="5" t="s">
        <v>163</v>
      </c>
      <c r="I11" s="5" t="s">
        <v>164</v>
      </c>
      <c r="J11" s="5" t="s">
        <v>165</v>
      </c>
      <c r="K11" s="5" t="s">
        <v>166</v>
      </c>
      <c r="L11" s="5" t="s">
        <v>167</v>
      </c>
      <c r="M11" s="5" t="s">
        <v>168</v>
      </c>
      <c r="N11" s="5" t="s">
        <v>169</v>
      </c>
      <c r="O11" s="5" t="s">
        <v>170</v>
      </c>
      <c r="P11" s="5" t="s">
        <v>171</v>
      </c>
      <c r="Q11" s="5" t="s">
        <v>172</v>
      </c>
      <c r="R11" s="5" t="s">
        <v>173</v>
      </c>
      <c r="S11" s="5" t="s">
        <v>233</v>
      </c>
    </row>
    <row r="12" spans="1:22" x14ac:dyDescent="0.2">
      <c r="A12" s="76" t="s">
        <v>105</v>
      </c>
      <c r="B12" s="77" t="s">
        <v>106</v>
      </c>
      <c r="C12" s="78">
        <f>(200*1000*PARAMETERS!$B$55/1000000)/4</f>
        <v>1000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78">
        <f t="shared" ref="S12:S19" si="0">SUM(C12:R12)</f>
        <v>1000</v>
      </c>
    </row>
    <row r="13" spans="1:22" x14ac:dyDescent="0.2">
      <c r="A13" s="76" t="s">
        <v>109</v>
      </c>
      <c r="B13" s="77" t="s">
        <v>106</v>
      </c>
      <c r="C13" s="78">
        <f>(150*1000*PARAMETERS!$B$55/1000000)/4</f>
        <v>750</v>
      </c>
      <c r="D13" s="78">
        <f>(150*1000*PARAMETERS!$B$55/1000000)/4</f>
        <v>750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8">
        <f t="shared" si="0"/>
        <v>1500</v>
      </c>
    </row>
    <row r="14" spans="1:22" x14ac:dyDescent="0.2">
      <c r="A14" s="76" t="s">
        <v>111</v>
      </c>
      <c r="B14" s="77" t="s">
        <v>106</v>
      </c>
      <c r="C14" s="78">
        <f>(200*1000*PARAMETERS!$B$55/1000000)/4</f>
        <v>1000</v>
      </c>
      <c r="D14" s="78">
        <f>(200*1000*PARAMETERS!$B$55/1000000)/4</f>
        <v>1000</v>
      </c>
      <c r="E14" s="78">
        <f>(200*1000*PARAMETERS!$B$55/1000000)/4</f>
        <v>1000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78">
        <f t="shared" si="0"/>
        <v>3000</v>
      </c>
    </row>
    <row r="15" spans="1:22" x14ac:dyDescent="0.2">
      <c r="A15" s="76" t="s">
        <v>112</v>
      </c>
      <c r="B15" s="77" t="s">
        <v>106</v>
      </c>
      <c r="C15" s="78">
        <f>(200*1000*PARAMETERS!$B$55/1000000)/4</f>
        <v>1000</v>
      </c>
      <c r="D15" s="78">
        <f>(200*1000*PARAMETERS!$B$55/1000000)/4</f>
        <v>1000</v>
      </c>
      <c r="E15" s="78">
        <f>(200*1000*PARAMETERS!$B$55/1000000)/4</f>
        <v>1000</v>
      </c>
      <c r="F15" s="78">
        <f>(200*1000*PARAMETERS!$B$55/1000000)/4</f>
        <v>1000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79">
        <v>0</v>
      </c>
      <c r="R15" s="79">
        <v>0</v>
      </c>
      <c r="S15" s="78">
        <f t="shared" si="0"/>
        <v>4000</v>
      </c>
    </row>
    <row r="16" spans="1:22" x14ac:dyDescent="0.2">
      <c r="A16" s="76" t="s">
        <v>113</v>
      </c>
      <c r="B16" s="77" t="s">
        <v>106</v>
      </c>
      <c r="C16" s="79">
        <v>0</v>
      </c>
      <c r="D16" s="78">
        <f>(170*1000*PARAMETERS!$B$55/1000000)/4</f>
        <v>850</v>
      </c>
      <c r="E16" s="78">
        <f>(170*1000*PARAMETERS!$B$55/1000000)/4</f>
        <v>850</v>
      </c>
      <c r="F16" s="78">
        <f>(170*1000*PARAMETERS!$B$55/1000000)/4</f>
        <v>850</v>
      </c>
      <c r="G16" s="78">
        <f>(170*1000*PARAMETERS!$B$55/1000000)/4</f>
        <v>850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0</v>
      </c>
      <c r="Q16" s="79">
        <v>0</v>
      </c>
      <c r="R16" s="79">
        <v>0</v>
      </c>
      <c r="S16" s="78">
        <f t="shared" si="0"/>
        <v>3400</v>
      </c>
    </row>
    <row r="17" spans="1:22" x14ac:dyDescent="0.2">
      <c r="A17" s="76" t="s">
        <v>116</v>
      </c>
      <c r="B17" s="77" t="s">
        <v>106</v>
      </c>
      <c r="C17" s="79">
        <v>0</v>
      </c>
      <c r="D17" s="79">
        <v>0</v>
      </c>
      <c r="E17" s="78">
        <f>(100*1000*PARAMETERS!$B$55/1000000)/4</f>
        <v>500</v>
      </c>
      <c r="F17" s="78">
        <f>(100*1000*PARAMETERS!$B$55/1000000)/4</f>
        <v>500</v>
      </c>
      <c r="G17" s="78">
        <f>(100*1000*PARAMETERS!$B$55/1000000)/4</f>
        <v>500</v>
      </c>
      <c r="H17" s="78">
        <f>(100*1000*PARAMETERS!$B$55/1000000)/4</f>
        <v>500</v>
      </c>
      <c r="I17" s="79">
        <v>0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78">
        <f t="shared" si="0"/>
        <v>2000</v>
      </c>
    </row>
    <row r="18" spans="1:22" x14ac:dyDescent="0.2">
      <c r="A18" s="80" t="s">
        <v>117</v>
      </c>
      <c r="B18" s="81" t="s">
        <v>119</v>
      </c>
      <c r="C18" s="82">
        <v>0</v>
      </c>
      <c r="D18" s="82">
        <v>0</v>
      </c>
      <c r="E18" s="82">
        <v>0</v>
      </c>
      <c r="F18" s="83">
        <f>(70*1000*PARAMETERS!$B$56/1000000)/4</f>
        <v>140</v>
      </c>
      <c r="G18" s="83">
        <f>(70*1000*PARAMETERS!$B$56/1000000)/4</f>
        <v>140</v>
      </c>
      <c r="H18" s="83">
        <f>(70*1000*PARAMETERS!$B$56/1000000)/4</f>
        <v>140</v>
      </c>
      <c r="I18" s="83">
        <f>(70*1000*PARAMETERS!$B$56/1000000)/4</f>
        <v>140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3">
        <f t="shared" si="0"/>
        <v>560</v>
      </c>
    </row>
    <row r="19" spans="1:22" x14ac:dyDescent="0.2">
      <c r="A19" s="13" t="s">
        <v>234</v>
      </c>
      <c r="B19" s="84"/>
      <c r="C19" s="85">
        <f t="shared" ref="C19:R19" si="1">SUM(C12:C18)</f>
        <v>3750</v>
      </c>
      <c r="D19" s="85">
        <f t="shared" si="1"/>
        <v>3600</v>
      </c>
      <c r="E19" s="85">
        <f t="shared" si="1"/>
        <v>3350</v>
      </c>
      <c r="F19" s="85">
        <f t="shared" si="1"/>
        <v>2490</v>
      </c>
      <c r="G19" s="85">
        <f t="shared" si="1"/>
        <v>1490</v>
      </c>
      <c r="H19" s="85">
        <f t="shared" si="1"/>
        <v>640</v>
      </c>
      <c r="I19" s="85">
        <f t="shared" si="1"/>
        <v>140</v>
      </c>
      <c r="J19" s="85">
        <f t="shared" si="1"/>
        <v>0</v>
      </c>
      <c r="K19" s="85">
        <f t="shared" si="1"/>
        <v>0</v>
      </c>
      <c r="L19" s="85">
        <f t="shared" si="1"/>
        <v>0</v>
      </c>
      <c r="M19" s="85">
        <f t="shared" si="1"/>
        <v>0</v>
      </c>
      <c r="N19" s="85">
        <f t="shared" si="1"/>
        <v>0</v>
      </c>
      <c r="O19" s="85">
        <f t="shared" si="1"/>
        <v>0</v>
      </c>
      <c r="P19" s="85">
        <f t="shared" si="1"/>
        <v>0</v>
      </c>
      <c r="Q19" s="85">
        <f t="shared" si="1"/>
        <v>0</v>
      </c>
      <c r="R19" s="85">
        <f t="shared" si="1"/>
        <v>0</v>
      </c>
      <c r="S19" s="85">
        <f t="shared" si="0"/>
        <v>15460</v>
      </c>
      <c r="T19" s="86"/>
      <c r="U19" s="86"/>
      <c r="V19" s="86"/>
    </row>
    <row r="21" spans="1:22" x14ac:dyDescent="0.2">
      <c r="A21" s="168" t="s">
        <v>235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</row>
    <row r="22" spans="1:22" x14ac:dyDescent="0.2">
      <c r="A22" s="186" t="s">
        <v>236</v>
      </c>
      <c r="B22" s="169"/>
      <c r="C22" s="7">
        <v>250</v>
      </c>
      <c r="D22" s="188" t="s">
        <v>237</v>
      </c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</row>
    <row r="23" spans="1:22" x14ac:dyDescent="0.2">
      <c r="A23" s="196" t="s">
        <v>238</v>
      </c>
      <c r="B23" s="169"/>
      <c r="C23" s="87">
        <v>2.5</v>
      </c>
      <c r="D23" s="188" t="s">
        <v>239</v>
      </c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</row>
    <row r="24" spans="1:22" x14ac:dyDescent="0.2">
      <c r="A24" s="186" t="s">
        <v>240</v>
      </c>
      <c r="B24" s="169"/>
      <c r="C24" s="88" t="s">
        <v>241</v>
      </c>
      <c r="D24" s="188" t="s">
        <v>242</v>
      </c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</row>
    <row r="25" spans="1:22" x14ac:dyDescent="0.2">
      <c r="A25" s="196" t="s">
        <v>243</v>
      </c>
      <c r="B25" s="169"/>
      <c r="C25" s="88" t="s">
        <v>241</v>
      </c>
      <c r="D25" s="188" t="s">
        <v>244</v>
      </c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</row>
    <row r="26" spans="1:22" x14ac:dyDescent="0.2">
      <c r="A26" s="186" t="s">
        <v>245</v>
      </c>
      <c r="B26" s="169"/>
      <c r="C26" s="88" t="s">
        <v>241</v>
      </c>
      <c r="D26" s="188" t="s">
        <v>246</v>
      </c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</row>
  </sheetData>
  <mergeCells count="17">
    <mergeCell ref="A1:V1"/>
    <mergeCell ref="D22:V22"/>
    <mergeCell ref="A10:B10"/>
    <mergeCell ref="A23:B23"/>
    <mergeCell ref="D25:V25"/>
    <mergeCell ref="A9:V9"/>
    <mergeCell ref="C10:V10"/>
    <mergeCell ref="A21:V21"/>
    <mergeCell ref="A4:V4"/>
    <mergeCell ref="A22:B22"/>
    <mergeCell ref="D24:V24"/>
    <mergeCell ref="A2:V2"/>
    <mergeCell ref="A26:B26"/>
    <mergeCell ref="A24:B24"/>
    <mergeCell ref="D23:V23"/>
    <mergeCell ref="A25:B25"/>
    <mergeCell ref="D26:V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95959"/>
  </sheetPr>
  <dimension ref="A1:N32"/>
  <sheetViews>
    <sheetView showGridLines="0" workbookViewId="0"/>
  </sheetViews>
  <sheetFormatPr baseColWidth="10" defaultColWidth="8.83203125" defaultRowHeight="15" x14ac:dyDescent="0.2"/>
  <cols>
    <col min="1" max="1" width="46" customWidth="1"/>
    <col min="2" max="2" width="8" customWidth="1"/>
    <col min="3" max="10" width="12" customWidth="1"/>
  </cols>
  <sheetData>
    <row r="1" spans="1:14" ht="17" x14ac:dyDescent="0.2">
      <c r="A1" s="191" t="s">
        <v>247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2"/>
    </row>
    <row r="2" spans="1:14" ht="25" customHeight="1" x14ac:dyDescent="0.2">
      <c r="A2" s="195" t="s">
        <v>248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</row>
    <row r="4" spans="1:14" x14ac:dyDescent="0.2">
      <c r="A4" s="168" t="s">
        <v>249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</row>
    <row r="5" spans="1:14" x14ac:dyDescent="0.2">
      <c r="A5" s="19" t="s">
        <v>250</v>
      </c>
      <c r="B5" s="5" t="s">
        <v>251</v>
      </c>
      <c r="C5" s="5" t="s">
        <v>252</v>
      </c>
      <c r="D5" s="89" t="s">
        <v>253</v>
      </c>
      <c r="E5" s="89" t="s">
        <v>254</v>
      </c>
      <c r="F5" s="89" t="s">
        <v>255</v>
      </c>
      <c r="G5" s="89" t="s">
        <v>256</v>
      </c>
      <c r="H5" s="89" t="s">
        <v>257</v>
      </c>
      <c r="I5" s="89" t="s">
        <v>258</v>
      </c>
      <c r="J5" s="89" t="s">
        <v>259</v>
      </c>
    </row>
    <row r="6" spans="1:14" x14ac:dyDescent="0.2">
      <c r="A6" s="6" t="s">
        <v>260</v>
      </c>
      <c r="B6" s="20">
        <v>0.2</v>
      </c>
      <c r="C6" s="87">
        <v>3</v>
      </c>
      <c r="D6" s="87">
        <v>3.5</v>
      </c>
      <c r="E6" s="87">
        <v>3</v>
      </c>
      <c r="F6" s="87">
        <v>3.5</v>
      </c>
      <c r="G6" s="87">
        <v>3.5</v>
      </c>
      <c r="H6" s="87">
        <v>3.5</v>
      </c>
      <c r="I6" s="87">
        <v>2.5</v>
      </c>
      <c r="J6" s="87">
        <v>3</v>
      </c>
    </row>
    <row r="7" spans="1:14" x14ac:dyDescent="0.2">
      <c r="A7" s="10" t="s">
        <v>261</v>
      </c>
      <c r="B7" s="20">
        <v>0.15</v>
      </c>
      <c r="C7" s="87">
        <v>3</v>
      </c>
      <c r="D7" s="87">
        <v>3.5</v>
      </c>
      <c r="E7" s="87">
        <v>3</v>
      </c>
      <c r="F7" s="87">
        <v>3.5</v>
      </c>
      <c r="G7" s="87">
        <v>3.5</v>
      </c>
      <c r="H7" s="87">
        <v>3.5</v>
      </c>
      <c r="I7" s="87">
        <v>2.5</v>
      </c>
      <c r="J7" s="87">
        <v>2.5</v>
      </c>
    </row>
    <row r="8" spans="1:14" x14ac:dyDescent="0.2">
      <c r="A8" s="6" t="s">
        <v>262</v>
      </c>
      <c r="B8" s="20">
        <v>0.05</v>
      </c>
      <c r="C8" s="87">
        <v>2.5</v>
      </c>
      <c r="D8" s="87">
        <v>3.5</v>
      </c>
      <c r="E8" s="87">
        <v>3</v>
      </c>
      <c r="F8" s="87">
        <v>3.5</v>
      </c>
      <c r="G8" s="87">
        <v>3</v>
      </c>
      <c r="H8" s="87">
        <v>3</v>
      </c>
      <c r="I8" s="87">
        <v>2.5</v>
      </c>
      <c r="J8" s="87">
        <v>2.5</v>
      </c>
    </row>
    <row r="9" spans="1:14" x14ac:dyDescent="0.2">
      <c r="A9" s="10" t="s">
        <v>263</v>
      </c>
      <c r="B9" s="20">
        <v>0.05</v>
      </c>
      <c r="C9" s="87">
        <v>3.5</v>
      </c>
      <c r="D9" s="87">
        <v>3.5</v>
      </c>
      <c r="E9" s="87">
        <v>3</v>
      </c>
      <c r="F9" s="87">
        <v>3.5</v>
      </c>
      <c r="G9" s="87">
        <v>3</v>
      </c>
      <c r="H9" s="87">
        <v>3.5</v>
      </c>
      <c r="I9" s="87">
        <v>3</v>
      </c>
      <c r="J9" s="87">
        <v>3.5</v>
      </c>
    </row>
    <row r="10" spans="1:14" x14ac:dyDescent="0.2">
      <c r="A10" s="6" t="s">
        <v>264</v>
      </c>
      <c r="B10" s="20">
        <v>0.05</v>
      </c>
      <c r="C10" s="87">
        <v>3</v>
      </c>
      <c r="D10" s="87">
        <v>3.5</v>
      </c>
      <c r="E10" s="87">
        <v>3.5</v>
      </c>
      <c r="F10" s="87">
        <v>2</v>
      </c>
      <c r="G10" s="87">
        <v>3.5</v>
      </c>
      <c r="H10" s="87">
        <v>3.5</v>
      </c>
      <c r="I10" s="87">
        <v>2</v>
      </c>
      <c r="J10" s="87">
        <v>3</v>
      </c>
    </row>
    <row r="11" spans="1:14" x14ac:dyDescent="0.2">
      <c r="A11" s="10" t="s">
        <v>265</v>
      </c>
      <c r="B11" s="20">
        <v>0.1</v>
      </c>
      <c r="C11" s="87">
        <v>2</v>
      </c>
      <c r="D11" s="87">
        <v>2.5</v>
      </c>
      <c r="E11" s="87">
        <v>2.5</v>
      </c>
      <c r="F11" s="87">
        <v>3.5</v>
      </c>
      <c r="G11" s="87">
        <v>3.5</v>
      </c>
      <c r="H11" s="87">
        <v>3.5</v>
      </c>
      <c r="I11" s="87">
        <v>3</v>
      </c>
      <c r="J11" s="87">
        <v>2.5</v>
      </c>
    </row>
    <row r="12" spans="1:14" x14ac:dyDescent="0.2">
      <c r="A12" s="6" t="s">
        <v>266</v>
      </c>
      <c r="B12" s="20">
        <v>0.05</v>
      </c>
      <c r="C12" s="87">
        <v>3</v>
      </c>
      <c r="D12" s="87">
        <v>3</v>
      </c>
      <c r="E12" s="87">
        <v>2.5</v>
      </c>
      <c r="F12" s="87">
        <v>2.5</v>
      </c>
      <c r="G12" s="87">
        <v>3.5</v>
      </c>
      <c r="H12" s="87">
        <v>3.5</v>
      </c>
      <c r="I12" s="87">
        <v>2</v>
      </c>
      <c r="J12" s="87">
        <v>2.5</v>
      </c>
    </row>
    <row r="13" spans="1:14" x14ac:dyDescent="0.2">
      <c r="A13" s="10" t="s">
        <v>267</v>
      </c>
      <c r="B13" s="20">
        <v>0.05</v>
      </c>
      <c r="C13" s="87">
        <v>3</v>
      </c>
      <c r="D13" s="87">
        <v>3.5</v>
      </c>
      <c r="E13" s="87">
        <v>3</v>
      </c>
      <c r="F13" s="87">
        <v>2.5</v>
      </c>
      <c r="G13" s="87">
        <v>3.5</v>
      </c>
      <c r="H13" s="87">
        <v>3.5</v>
      </c>
      <c r="I13" s="87">
        <v>2.5</v>
      </c>
      <c r="J13" s="87">
        <v>2.5</v>
      </c>
    </row>
    <row r="14" spans="1:14" x14ac:dyDescent="0.2">
      <c r="A14" s="6" t="s">
        <v>268</v>
      </c>
      <c r="B14" s="20">
        <v>0.1</v>
      </c>
      <c r="C14" s="87">
        <v>3</v>
      </c>
      <c r="D14" s="87">
        <v>3.5</v>
      </c>
      <c r="E14" s="87">
        <v>3</v>
      </c>
      <c r="F14" s="87">
        <v>2.5</v>
      </c>
      <c r="G14" s="87">
        <v>3.5</v>
      </c>
      <c r="H14" s="87">
        <v>4</v>
      </c>
      <c r="I14" s="87">
        <v>2.5</v>
      </c>
      <c r="J14" s="87">
        <v>2.5</v>
      </c>
    </row>
    <row r="15" spans="1:14" x14ac:dyDescent="0.2">
      <c r="A15" s="10" t="s">
        <v>269</v>
      </c>
      <c r="B15" s="20">
        <v>0.1</v>
      </c>
      <c r="C15" s="87">
        <v>2.5</v>
      </c>
      <c r="D15" s="87">
        <v>3</v>
      </c>
      <c r="E15" s="87">
        <v>2.5</v>
      </c>
      <c r="F15" s="87">
        <v>2.5</v>
      </c>
      <c r="G15" s="87">
        <v>3.5</v>
      </c>
      <c r="H15" s="87">
        <v>4</v>
      </c>
      <c r="I15" s="87">
        <v>2</v>
      </c>
      <c r="J15" s="87">
        <v>2.5</v>
      </c>
    </row>
    <row r="16" spans="1:14" x14ac:dyDescent="0.2">
      <c r="A16" s="6" t="s">
        <v>270</v>
      </c>
      <c r="B16" s="20">
        <v>0.1</v>
      </c>
      <c r="C16" s="87">
        <v>2.5</v>
      </c>
      <c r="D16" s="87">
        <v>3</v>
      </c>
      <c r="E16" s="87">
        <v>2.5</v>
      </c>
      <c r="F16" s="87">
        <v>2</v>
      </c>
      <c r="G16" s="87">
        <v>3.5</v>
      </c>
      <c r="H16" s="87">
        <v>3.5</v>
      </c>
      <c r="I16" s="87">
        <v>2.5</v>
      </c>
      <c r="J16" s="87">
        <v>2.5</v>
      </c>
    </row>
    <row r="17" spans="1:14" x14ac:dyDescent="0.2">
      <c r="A17" s="45" t="s">
        <v>271</v>
      </c>
      <c r="B17" s="46"/>
      <c r="C17" s="90">
        <f t="shared" ref="C17:J17" si="0">SUMPRODUCT($B$6:$B$16,C6:C16)/SUM($B$6:$B$16)</f>
        <v>2.8</v>
      </c>
      <c r="D17" s="90">
        <f t="shared" si="0"/>
        <v>3.2749999999999995</v>
      </c>
      <c r="E17" s="90">
        <f t="shared" si="0"/>
        <v>2.8500000000000005</v>
      </c>
      <c r="F17" s="90">
        <f t="shared" si="0"/>
        <v>2.9750000000000005</v>
      </c>
      <c r="G17" s="90">
        <f t="shared" si="0"/>
        <v>3.4499999999999997</v>
      </c>
      <c r="H17" s="90">
        <f t="shared" si="0"/>
        <v>3.5749999999999997</v>
      </c>
      <c r="I17" s="90">
        <f t="shared" si="0"/>
        <v>2.4750000000000005</v>
      </c>
      <c r="J17" s="90">
        <f t="shared" si="0"/>
        <v>2.6750000000000003</v>
      </c>
      <c r="K17" s="91"/>
      <c r="L17" s="91"/>
      <c r="M17" s="91"/>
      <c r="N17" s="91"/>
    </row>
    <row r="19" spans="1:14" x14ac:dyDescent="0.2">
      <c r="A19" s="168" t="s">
        <v>272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</row>
    <row r="20" spans="1:14" x14ac:dyDescent="0.2">
      <c r="A20" s="19" t="s">
        <v>250</v>
      </c>
      <c r="B20" s="5" t="s">
        <v>251</v>
      </c>
      <c r="C20" s="5" t="s">
        <v>252</v>
      </c>
      <c r="D20" s="89" t="s">
        <v>253</v>
      </c>
      <c r="E20" s="89" t="s">
        <v>254</v>
      </c>
      <c r="F20" s="89" t="s">
        <v>255</v>
      </c>
      <c r="G20" s="89" t="s">
        <v>256</v>
      </c>
      <c r="H20" s="89" t="s">
        <v>257</v>
      </c>
      <c r="I20" s="89" t="s">
        <v>258</v>
      </c>
      <c r="J20" s="89" t="s">
        <v>259</v>
      </c>
    </row>
    <row r="21" spans="1:14" x14ac:dyDescent="0.2">
      <c r="A21" s="11" t="s">
        <v>273</v>
      </c>
      <c r="B21" s="20">
        <v>0.4</v>
      </c>
      <c r="C21" s="87">
        <v>2.5</v>
      </c>
      <c r="D21" s="87">
        <v>3.5</v>
      </c>
      <c r="E21" s="87">
        <v>2.5</v>
      </c>
      <c r="F21" s="87">
        <v>1.5</v>
      </c>
      <c r="G21" s="87">
        <v>4</v>
      </c>
      <c r="H21" s="87">
        <v>4</v>
      </c>
      <c r="I21" s="87">
        <v>2</v>
      </c>
      <c r="J21" s="87">
        <v>2.5</v>
      </c>
    </row>
    <row r="22" spans="1:14" x14ac:dyDescent="0.2">
      <c r="A22" s="10" t="s">
        <v>274</v>
      </c>
      <c r="B22" s="20">
        <v>0.15</v>
      </c>
      <c r="C22" s="87">
        <v>3</v>
      </c>
      <c r="D22" s="87">
        <v>3.5</v>
      </c>
      <c r="E22" s="87">
        <v>3</v>
      </c>
      <c r="F22" s="87">
        <v>2</v>
      </c>
      <c r="G22" s="87">
        <v>4</v>
      </c>
      <c r="H22" s="87">
        <v>4</v>
      </c>
      <c r="I22" s="87">
        <v>2.5</v>
      </c>
      <c r="J22" s="87">
        <v>2.5</v>
      </c>
    </row>
    <row r="23" spans="1:14" x14ac:dyDescent="0.2">
      <c r="A23" s="11" t="s">
        <v>275</v>
      </c>
      <c r="B23" s="20">
        <v>0.15</v>
      </c>
      <c r="C23" s="87">
        <v>3</v>
      </c>
      <c r="D23" s="87">
        <v>3</v>
      </c>
      <c r="E23" s="87">
        <v>2.5</v>
      </c>
      <c r="F23" s="87">
        <v>2</v>
      </c>
      <c r="G23" s="87">
        <v>3.5</v>
      </c>
      <c r="H23" s="87">
        <v>3.5</v>
      </c>
      <c r="I23" s="87">
        <v>2.5</v>
      </c>
      <c r="J23" s="87">
        <v>2.5</v>
      </c>
    </row>
    <row r="24" spans="1:14" x14ac:dyDescent="0.2">
      <c r="A24" s="10" t="s">
        <v>276</v>
      </c>
      <c r="B24" s="20">
        <v>0.1</v>
      </c>
      <c r="C24" s="87">
        <v>2.5</v>
      </c>
      <c r="D24" s="87">
        <v>3</v>
      </c>
      <c r="E24" s="87">
        <v>2.5</v>
      </c>
      <c r="F24" s="87">
        <v>2</v>
      </c>
      <c r="G24" s="87">
        <v>4</v>
      </c>
      <c r="H24" s="87">
        <v>4</v>
      </c>
      <c r="I24" s="87">
        <v>2</v>
      </c>
      <c r="J24" s="87">
        <v>2.5</v>
      </c>
    </row>
    <row r="25" spans="1:14" x14ac:dyDescent="0.2">
      <c r="A25" s="11" t="s">
        <v>277</v>
      </c>
      <c r="B25" s="20">
        <v>0.1</v>
      </c>
      <c r="C25" s="87">
        <v>2.5</v>
      </c>
      <c r="D25" s="87">
        <v>3.5</v>
      </c>
      <c r="E25" s="87">
        <v>3</v>
      </c>
      <c r="F25" s="87">
        <v>2.5</v>
      </c>
      <c r="G25" s="87">
        <v>4</v>
      </c>
      <c r="H25" s="87">
        <v>4</v>
      </c>
      <c r="I25" s="87">
        <v>2.5</v>
      </c>
      <c r="J25" s="87">
        <v>2.5</v>
      </c>
    </row>
    <row r="26" spans="1:14" x14ac:dyDescent="0.2">
      <c r="A26" s="10" t="s">
        <v>278</v>
      </c>
      <c r="B26" s="20">
        <v>0.1</v>
      </c>
      <c r="C26" s="87">
        <v>2.5</v>
      </c>
      <c r="D26" s="87">
        <v>3.5</v>
      </c>
      <c r="E26" s="87">
        <v>2.5</v>
      </c>
      <c r="F26" s="87">
        <v>2</v>
      </c>
      <c r="G26" s="87">
        <v>4</v>
      </c>
      <c r="H26" s="87">
        <v>4</v>
      </c>
      <c r="I26" s="87">
        <v>2</v>
      </c>
      <c r="J26" s="87">
        <v>2</v>
      </c>
    </row>
    <row r="27" spans="1:14" x14ac:dyDescent="0.2">
      <c r="A27" s="92" t="s">
        <v>279</v>
      </c>
      <c r="B27" s="93"/>
      <c r="C27" s="94">
        <f t="shared" ref="C27:J27" si="1">SUMPRODUCT($B$21:$B$26,C21:C26)/SUM($B$21:$B$26)</f>
        <v>2.65</v>
      </c>
      <c r="D27" s="94">
        <f t="shared" si="1"/>
        <v>3.375</v>
      </c>
      <c r="E27" s="94">
        <f t="shared" si="1"/>
        <v>2.625</v>
      </c>
      <c r="F27" s="94">
        <f t="shared" si="1"/>
        <v>1.85</v>
      </c>
      <c r="G27" s="94">
        <f t="shared" si="1"/>
        <v>3.9249999999999998</v>
      </c>
      <c r="H27" s="94">
        <f t="shared" si="1"/>
        <v>3.9249999999999998</v>
      </c>
      <c r="I27" s="94">
        <f t="shared" si="1"/>
        <v>2.2000000000000002</v>
      </c>
      <c r="J27" s="94">
        <f t="shared" si="1"/>
        <v>2.4500000000000002</v>
      </c>
      <c r="K27" s="95"/>
      <c r="L27" s="95"/>
      <c r="M27" s="95"/>
      <c r="N27" s="95"/>
    </row>
    <row r="29" spans="1:14" x14ac:dyDescent="0.2">
      <c r="A29" s="96" t="s">
        <v>280</v>
      </c>
      <c r="B29" s="84"/>
      <c r="C29" s="97">
        <f t="shared" ref="C29:J29" si="2">0.6*C17+0.4*C27</f>
        <v>2.74</v>
      </c>
      <c r="D29" s="97">
        <f t="shared" si="2"/>
        <v>3.3149999999999995</v>
      </c>
      <c r="E29" s="97">
        <f t="shared" si="2"/>
        <v>2.7600000000000002</v>
      </c>
      <c r="F29" s="97">
        <f t="shared" si="2"/>
        <v>2.5250000000000004</v>
      </c>
      <c r="G29" s="97">
        <f t="shared" si="2"/>
        <v>3.6399999999999997</v>
      </c>
      <c r="H29" s="97">
        <f t="shared" si="2"/>
        <v>3.7149999999999999</v>
      </c>
      <c r="I29" s="97">
        <f t="shared" si="2"/>
        <v>2.3650000000000002</v>
      </c>
      <c r="J29" s="97">
        <f t="shared" si="2"/>
        <v>2.5850000000000004</v>
      </c>
      <c r="K29" s="86"/>
      <c r="L29" s="86"/>
      <c r="M29" s="86"/>
      <c r="N29" s="86"/>
    </row>
    <row r="30" spans="1:14" x14ac:dyDescent="0.2">
      <c r="A30" s="98" t="s">
        <v>281</v>
      </c>
      <c r="B30" s="99"/>
      <c r="C30" s="100">
        <f>RANK(C29,C29:J29,0)</f>
        <v>5</v>
      </c>
      <c r="D30" s="100">
        <f>RANK(D29,C29:J29,0)</f>
        <v>3</v>
      </c>
      <c r="E30" s="100">
        <f>RANK(E29,C29:J29,0)</f>
        <v>4</v>
      </c>
      <c r="F30" s="100">
        <f>RANK(F29,C29:J29,0)</f>
        <v>7</v>
      </c>
      <c r="G30" s="100">
        <f>RANK(G29,C29:J29,0)</f>
        <v>2</v>
      </c>
      <c r="H30" s="100">
        <f>RANK(H29,C29:J29,0)</f>
        <v>1</v>
      </c>
      <c r="I30" s="100">
        <f>RANK(I29,C29:J29,0)</f>
        <v>8</v>
      </c>
      <c r="J30" s="100">
        <f>RANK(J29,C29:J29,0)</f>
        <v>6</v>
      </c>
      <c r="K30" s="101"/>
      <c r="L30" s="101"/>
      <c r="M30" s="101"/>
      <c r="N30" s="101"/>
    </row>
    <row r="32" spans="1:14" ht="60" customHeight="1" x14ac:dyDescent="0.2">
      <c r="A32" s="197" t="s">
        <v>282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</row>
  </sheetData>
  <mergeCells count="5">
    <mergeCell ref="A4:N4"/>
    <mergeCell ref="A2:N2"/>
    <mergeCell ref="A19:N19"/>
    <mergeCell ref="A32:N3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5C2E"/>
  </sheetPr>
  <dimension ref="A1:R64"/>
  <sheetViews>
    <sheetView showGridLines="0" workbookViewId="0"/>
  </sheetViews>
  <sheetFormatPr baseColWidth="10" defaultColWidth="8.83203125" defaultRowHeight="15" x14ac:dyDescent="0.2"/>
  <cols>
    <col min="1" max="1" width="38" customWidth="1"/>
    <col min="2" max="3" width="10" customWidth="1"/>
    <col min="4" max="4" width="18" customWidth="1"/>
    <col min="5" max="18" width="10" customWidth="1"/>
  </cols>
  <sheetData>
    <row r="1" spans="1:18" ht="17" x14ac:dyDescent="0.2">
      <c r="A1" s="191" t="s">
        <v>283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2"/>
    </row>
    <row r="3" spans="1:18" x14ac:dyDescent="0.2">
      <c r="A3" s="19" t="s">
        <v>284</v>
      </c>
      <c r="B3" s="5" t="s">
        <v>202</v>
      </c>
      <c r="C3" s="5" t="s">
        <v>158</v>
      </c>
      <c r="D3" s="5" t="s">
        <v>159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165</v>
      </c>
      <c r="K3" s="5" t="s">
        <v>166</v>
      </c>
      <c r="L3" s="5" t="s">
        <v>167</v>
      </c>
      <c r="M3" s="5" t="s">
        <v>168</v>
      </c>
      <c r="N3" s="5" t="s">
        <v>169</v>
      </c>
      <c r="O3" s="5" t="s">
        <v>170</v>
      </c>
      <c r="P3" s="5" t="s">
        <v>171</v>
      </c>
      <c r="Q3" s="5" t="s">
        <v>172</v>
      </c>
      <c r="R3" s="5" t="s">
        <v>173</v>
      </c>
    </row>
    <row r="4" spans="1:18" x14ac:dyDescent="0.2">
      <c r="A4" s="194" t="s">
        <v>285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</row>
    <row r="5" spans="1:18" ht="35" customHeight="1" x14ac:dyDescent="0.2">
      <c r="A5" s="201" t="s">
        <v>286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</row>
    <row r="6" spans="1:18" x14ac:dyDescent="0.2">
      <c r="A6" s="102" t="s">
        <v>287</v>
      </c>
      <c r="B6" s="196" t="s">
        <v>288</v>
      </c>
      <c r="C6" s="169"/>
      <c r="D6" s="169"/>
      <c r="E6" s="169"/>
      <c r="F6" s="169"/>
      <c r="G6" s="169"/>
      <c r="H6" s="169"/>
      <c r="J6" s="102" t="s">
        <v>289</v>
      </c>
      <c r="K6" s="196" t="s">
        <v>290</v>
      </c>
      <c r="L6" s="169"/>
      <c r="M6" s="169"/>
      <c r="N6" s="169"/>
      <c r="O6" s="169"/>
      <c r="P6" s="169"/>
      <c r="Q6" s="169"/>
    </row>
    <row r="7" spans="1:18" x14ac:dyDescent="0.2">
      <c r="A7" s="102" t="s">
        <v>291</v>
      </c>
      <c r="B7" s="196" t="s">
        <v>292</v>
      </c>
      <c r="C7" s="169"/>
      <c r="D7" s="169"/>
      <c r="E7" s="169"/>
      <c r="F7" s="169"/>
      <c r="G7" s="169"/>
      <c r="H7" s="169"/>
      <c r="J7" s="102" t="s">
        <v>293</v>
      </c>
      <c r="K7" s="196" t="s">
        <v>294</v>
      </c>
      <c r="L7" s="169"/>
      <c r="M7" s="169"/>
      <c r="N7" s="169"/>
      <c r="O7" s="169"/>
      <c r="P7" s="169"/>
      <c r="Q7" s="169"/>
    </row>
    <row r="8" spans="1:18" x14ac:dyDescent="0.2">
      <c r="A8" s="102" t="s">
        <v>295</v>
      </c>
      <c r="B8" s="196" t="s">
        <v>296</v>
      </c>
      <c r="C8" s="169"/>
      <c r="D8" s="169"/>
      <c r="E8" s="169"/>
      <c r="F8" s="169"/>
      <c r="G8" s="169"/>
      <c r="H8" s="169"/>
      <c r="J8" s="102" t="s">
        <v>297</v>
      </c>
      <c r="K8" s="196" t="s">
        <v>298</v>
      </c>
      <c r="L8" s="169"/>
      <c r="M8" s="169"/>
      <c r="N8" s="169"/>
      <c r="O8" s="169"/>
      <c r="P8" s="169"/>
      <c r="Q8" s="169"/>
    </row>
    <row r="9" spans="1:18" x14ac:dyDescent="0.2">
      <c r="A9" s="102" t="s">
        <v>299</v>
      </c>
      <c r="B9" s="196" t="s">
        <v>296</v>
      </c>
      <c r="C9" s="169"/>
      <c r="D9" s="169"/>
      <c r="E9" s="169"/>
      <c r="F9" s="169"/>
      <c r="G9" s="169"/>
      <c r="H9" s="169"/>
      <c r="J9" s="102" t="s">
        <v>300</v>
      </c>
      <c r="K9" s="196" t="s">
        <v>301</v>
      </c>
      <c r="L9" s="169"/>
      <c r="M9" s="169"/>
      <c r="N9" s="169"/>
      <c r="O9" s="169"/>
      <c r="P9" s="169"/>
      <c r="Q9" s="169"/>
    </row>
    <row r="10" spans="1:18" x14ac:dyDescent="0.2">
      <c r="A10" s="102" t="s">
        <v>302</v>
      </c>
      <c r="B10" s="196" t="s">
        <v>303</v>
      </c>
      <c r="C10" s="169"/>
      <c r="D10" s="169"/>
      <c r="E10" s="169"/>
      <c r="F10" s="169"/>
      <c r="G10" s="169"/>
      <c r="H10" s="169"/>
      <c r="J10" s="102" t="s">
        <v>304</v>
      </c>
      <c r="K10" s="196" t="s">
        <v>305</v>
      </c>
      <c r="L10" s="169"/>
      <c r="M10" s="169"/>
      <c r="N10" s="169"/>
      <c r="O10" s="169"/>
      <c r="P10" s="169"/>
      <c r="Q10" s="169"/>
    </row>
    <row r="12" spans="1:18" x14ac:dyDescent="0.2">
      <c r="A12" s="199" t="s">
        <v>306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</row>
    <row r="13" spans="1:18" x14ac:dyDescent="0.2">
      <c r="A13" s="50" t="s">
        <v>307</v>
      </c>
      <c r="B13" s="71"/>
      <c r="C13" s="72">
        <f>ARGENTINA_SUPPLY!C14</f>
        <v>35</v>
      </c>
      <c r="D13" s="72">
        <f>ARGENTINA_SUPPLY!D14</f>
        <v>52</v>
      </c>
      <c r="E13" s="72">
        <f>ARGENTINA_SUPPLY!E14</f>
        <v>69</v>
      </c>
      <c r="F13" s="72">
        <f>ARGENTINA_SUPPLY!F14</f>
        <v>68</v>
      </c>
      <c r="G13" s="72">
        <f>ARGENTINA_SUPPLY!G14</f>
        <v>67</v>
      </c>
      <c r="H13" s="72">
        <f>ARGENTINA_SUPPLY!H14</f>
        <v>67</v>
      </c>
      <c r="I13" s="72">
        <f>ARGENTINA_SUPPLY!I14</f>
        <v>0</v>
      </c>
      <c r="J13" s="72">
        <f>ARGENTINA_SUPPLY!J14</f>
        <v>0</v>
      </c>
      <c r="K13" s="72">
        <f>ARGENTINA_SUPPLY!K14</f>
        <v>0</v>
      </c>
      <c r="L13" s="72">
        <f>ARGENTINA_SUPPLY!L14</f>
        <v>0</v>
      </c>
      <c r="M13" s="72">
        <f>ARGENTINA_SUPPLY!M14</f>
        <v>0</v>
      </c>
      <c r="N13" s="72">
        <f>ARGENTINA_SUPPLY!N14</f>
        <v>0</v>
      </c>
      <c r="O13" s="72">
        <f>ARGENTINA_SUPPLY!O14</f>
        <v>0</v>
      </c>
      <c r="P13" s="72">
        <f>ARGENTINA_SUPPLY!P14</f>
        <v>0</v>
      </c>
      <c r="Q13" s="72">
        <f>ARGENTINA_SUPPLY!Q14</f>
        <v>0</v>
      </c>
      <c r="R13" s="72">
        <f>ARGENTINA_SUPPLY!R14</f>
        <v>0</v>
      </c>
    </row>
    <row r="14" spans="1:18" x14ac:dyDescent="0.2">
      <c r="A14" s="10" t="s">
        <v>308</v>
      </c>
      <c r="B14" s="103"/>
      <c r="C14" s="104">
        <f>(PARAMETERS!$B$51*(1-0)+PARAMETERS!$C$51*0)</f>
        <v>7800</v>
      </c>
      <c r="D14" s="104">
        <f>(PARAMETERS!$B$51*(1-0.2)+PARAMETERS!$C$51*0.2)</f>
        <v>7740</v>
      </c>
      <c r="E14" s="104">
        <f>(PARAMETERS!$B$51*(1-0.4)+PARAMETERS!$C$51*0.4)</f>
        <v>7680</v>
      </c>
      <c r="F14" s="104">
        <f>(PARAMETERS!$B$51*(1-0.6)+PARAMETERS!$C$51*0.6)</f>
        <v>7620</v>
      </c>
      <c r="G14" s="104">
        <f>(PARAMETERS!$B$51*(1-0.8)+PARAMETERS!$C$51*0.8)</f>
        <v>7560</v>
      </c>
      <c r="H14" s="104">
        <f>(PARAMETERS!$B$51*(1-1)+PARAMETERS!$C$51*1)</f>
        <v>7500</v>
      </c>
      <c r="I14" s="104">
        <f>(PARAMETERS!$C$51*(1-0.2)+PARAMETERS!$D$51*0.2)</f>
        <v>7440</v>
      </c>
      <c r="J14" s="104">
        <f>(PARAMETERS!$C$51*(1-0.4)+PARAMETERS!$D$51*0.4)</f>
        <v>7380</v>
      </c>
      <c r="K14" s="104">
        <f>(PARAMETERS!$C$51*(1-0.6)+PARAMETERS!$D$51*0.6)</f>
        <v>7320</v>
      </c>
      <c r="L14" s="104">
        <f>(PARAMETERS!$C$51*(1-0.8)+PARAMETERS!$D$51*0.8)</f>
        <v>7260</v>
      </c>
      <c r="M14" s="104">
        <f>(PARAMETERS!$C$51*(1-1)+PARAMETERS!$D$51*1)</f>
        <v>7200</v>
      </c>
      <c r="N14" s="104">
        <f>(PARAMETERS!$D$51*(1-0.2)+PARAMETERS!$E$51*0.2)</f>
        <v>7160</v>
      </c>
      <c r="O14" s="104">
        <f>(PARAMETERS!$D$51*(1-0.4)+PARAMETERS!$E$51*0.4)</f>
        <v>7120</v>
      </c>
      <c r="P14" s="104">
        <f>(PARAMETERS!$D$51*(1-0.6)+PARAMETERS!$E$51*0.6)</f>
        <v>7080</v>
      </c>
      <c r="Q14" s="104">
        <f>(PARAMETERS!$D$51*(1-0.8)+PARAMETERS!$E$51*0.8)</f>
        <v>7040</v>
      </c>
      <c r="R14" s="104">
        <f>(PARAMETERS!$D$51*(1-1)+PARAMETERS!$E$51*1)</f>
        <v>7000</v>
      </c>
    </row>
    <row r="15" spans="1:18" x14ac:dyDescent="0.2">
      <c r="A15" s="50" t="s">
        <v>309</v>
      </c>
      <c r="B15" s="71"/>
      <c r="C15" s="51">
        <f t="shared" ref="C15:R15" si="0">(C13*C14)/1000</f>
        <v>273</v>
      </c>
      <c r="D15" s="51">
        <f t="shared" si="0"/>
        <v>402.48</v>
      </c>
      <c r="E15" s="51">
        <f t="shared" si="0"/>
        <v>529.91999999999996</v>
      </c>
      <c r="F15" s="51">
        <f t="shared" si="0"/>
        <v>518.16</v>
      </c>
      <c r="G15" s="51">
        <f t="shared" si="0"/>
        <v>506.52</v>
      </c>
      <c r="H15" s="51">
        <f t="shared" si="0"/>
        <v>502.5</v>
      </c>
      <c r="I15" s="51">
        <f t="shared" si="0"/>
        <v>0</v>
      </c>
      <c r="J15" s="51">
        <f t="shared" si="0"/>
        <v>0</v>
      </c>
      <c r="K15" s="51">
        <f t="shared" si="0"/>
        <v>0</v>
      </c>
      <c r="L15" s="51">
        <f t="shared" si="0"/>
        <v>0</v>
      </c>
      <c r="M15" s="51">
        <f t="shared" si="0"/>
        <v>0</v>
      </c>
      <c r="N15" s="51">
        <f t="shared" si="0"/>
        <v>0</v>
      </c>
      <c r="O15" s="51">
        <f t="shared" si="0"/>
        <v>0</v>
      </c>
      <c r="P15" s="51">
        <f t="shared" si="0"/>
        <v>0</v>
      </c>
      <c r="Q15" s="51">
        <f t="shared" si="0"/>
        <v>0</v>
      </c>
      <c r="R15" s="51">
        <f t="shared" si="0"/>
        <v>0</v>
      </c>
    </row>
    <row r="16" spans="1:18" x14ac:dyDescent="0.2">
      <c r="A16" s="10" t="s">
        <v>310</v>
      </c>
      <c r="B16" s="103"/>
      <c r="C16" s="105">
        <f>IF(AR_OPPORTUNITY!C$19&gt;0,AR_OPPORTUNITY!C$19,0)</f>
        <v>3750</v>
      </c>
      <c r="D16" s="105">
        <f>IF(AR_OPPORTUNITY!D$19&gt;0,AR_OPPORTUNITY!D$19,0)</f>
        <v>3600</v>
      </c>
      <c r="E16" s="105">
        <f>IF(AR_OPPORTUNITY!E$19&gt;0,AR_OPPORTUNITY!E$19,0)</f>
        <v>3350</v>
      </c>
      <c r="F16" s="105">
        <f>IF(AR_OPPORTUNITY!F$19&gt;0,AR_OPPORTUNITY!F$19,0)</f>
        <v>2490</v>
      </c>
      <c r="G16" s="105">
        <f>IF(AR_OPPORTUNITY!G$19&gt;0,AR_OPPORTUNITY!G$19,0)</f>
        <v>1490</v>
      </c>
      <c r="H16" s="105">
        <f>IF(AR_OPPORTUNITY!H$19&gt;0,AR_OPPORTUNITY!H$19,0)</f>
        <v>640</v>
      </c>
      <c r="I16" s="105">
        <f>IF(AR_OPPORTUNITY!I$19&gt;0,AR_OPPORTUNITY!I$19,0)</f>
        <v>140</v>
      </c>
      <c r="J16" s="105">
        <f>IF(AR_OPPORTUNITY!J$19&gt;0,AR_OPPORTUNITY!J$19,0)</f>
        <v>0</v>
      </c>
      <c r="K16" s="105">
        <f>IF(AR_OPPORTUNITY!K$19&gt;0,AR_OPPORTUNITY!K$19,0)</f>
        <v>0</v>
      </c>
      <c r="L16" s="105">
        <f>IF(AR_OPPORTUNITY!L$19&gt;0,AR_OPPORTUNITY!L$19,0)</f>
        <v>0</v>
      </c>
      <c r="M16" s="105">
        <f>IF(AR_OPPORTUNITY!M$19&gt;0,AR_OPPORTUNITY!M$19,0)</f>
        <v>0</v>
      </c>
      <c r="N16" s="105">
        <f>IF(AR_OPPORTUNITY!N$19&gt;0,AR_OPPORTUNITY!N$19,0)</f>
        <v>0</v>
      </c>
      <c r="O16" s="105">
        <f>IF(AR_OPPORTUNITY!O$19&gt;0,AR_OPPORTUNITY!O$19,0)</f>
        <v>0</v>
      </c>
      <c r="P16" s="105">
        <f>IF(AR_OPPORTUNITY!P$19&gt;0,AR_OPPORTUNITY!P$19,0)</f>
        <v>0</v>
      </c>
      <c r="Q16" s="105">
        <f>IF(AR_OPPORTUNITY!Q$19&gt;0,AR_OPPORTUNITY!Q$19,0)</f>
        <v>0</v>
      </c>
      <c r="R16" s="105">
        <f>IF(AR_OPPORTUNITY!R$19&gt;0,AR_OPPORTUNITY!R$19,0)</f>
        <v>0</v>
      </c>
    </row>
    <row r="17" spans="1:18" x14ac:dyDescent="0.2">
      <c r="A17" s="50" t="s">
        <v>311</v>
      </c>
      <c r="B17" s="71"/>
      <c r="C17" s="51">
        <f t="shared" ref="C17:R17" si="1">C15-C16</f>
        <v>-3477</v>
      </c>
      <c r="D17" s="51">
        <f t="shared" si="1"/>
        <v>-3197.52</v>
      </c>
      <c r="E17" s="51">
        <f t="shared" si="1"/>
        <v>-2820.08</v>
      </c>
      <c r="F17" s="51">
        <f t="shared" si="1"/>
        <v>-1971.8400000000001</v>
      </c>
      <c r="G17" s="51">
        <f t="shared" si="1"/>
        <v>-983.48</v>
      </c>
      <c r="H17" s="51">
        <f t="shared" si="1"/>
        <v>-137.5</v>
      </c>
      <c r="I17" s="51">
        <f t="shared" si="1"/>
        <v>-140</v>
      </c>
      <c r="J17" s="51">
        <f t="shared" si="1"/>
        <v>0</v>
      </c>
      <c r="K17" s="51">
        <f t="shared" si="1"/>
        <v>0</v>
      </c>
      <c r="L17" s="51">
        <f t="shared" si="1"/>
        <v>0</v>
      </c>
      <c r="M17" s="51">
        <f t="shared" si="1"/>
        <v>0</v>
      </c>
      <c r="N17" s="51">
        <f t="shared" si="1"/>
        <v>0</v>
      </c>
      <c r="O17" s="51">
        <f t="shared" si="1"/>
        <v>0</v>
      </c>
      <c r="P17" s="51">
        <f t="shared" si="1"/>
        <v>0</v>
      </c>
      <c r="Q17" s="51">
        <f t="shared" si="1"/>
        <v>0</v>
      </c>
      <c r="R17" s="51">
        <f t="shared" si="1"/>
        <v>0</v>
      </c>
    </row>
    <row r="20" spans="1:18" x14ac:dyDescent="0.2">
      <c r="A20" s="187" t="s">
        <v>312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</row>
    <row r="21" spans="1:18" ht="35" customHeight="1" x14ac:dyDescent="0.2">
      <c r="A21" s="200" t="s">
        <v>313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</row>
    <row r="22" spans="1:18" x14ac:dyDescent="0.2">
      <c r="A22" s="2" t="s">
        <v>287</v>
      </c>
      <c r="B22" s="196" t="s">
        <v>314</v>
      </c>
      <c r="C22" s="169"/>
      <c r="D22" s="169"/>
      <c r="E22" s="169"/>
      <c r="F22" s="169"/>
      <c r="G22" s="169"/>
      <c r="H22" s="169"/>
      <c r="J22" s="2" t="s">
        <v>289</v>
      </c>
      <c r="K22" s="196" t="s">
        <v>315</v>
      </c>
      <c r="L22" s="169"/>
      <c r="M22" s="169"/>
      <c r="N22" s="169"/>
      <c r="O22" s="169"/>
      <c r="P22" s="169"/>
      <c r="Q22" s="169"/>
    </row>
    <row r="23" spans="1:18" x14ac:dyDescent="0.2">
      <c r="A23" s="2" t="s">
        <v>291</v>
      </c>
      <c r="B23" s="196" t="s">
        <v>316</v>
      </c>
      <c r="C23" s="169"/>
      <c r="D23" s="169"/>
      <c r="E23" s="169"/>
      <c r="F23" s="169"/>
      <c r="G23" s="169"/>
      <c r="H23" s="169"/>
      <c r="J23" s="2" t="s">
        <v>293</v>
      </c>
      <c r="K23" s="196" t="s">
        <v>317</v>
      </c>
      <c r="L23" s="169"/>
      <c r="M23" s="169"/>
      <c r="N23" s="169"/>
      <c r="O23" s="169"/>
      <c r="P23" s="169"/>
      <c r="Q23" s="169"/>
    </row>
    <row r="24" spans="1:18" x14ac:dyDescent="0.2">
      <c r="A24" s="2" t="s">
        <v>295</v>
      </c>
      <c r="B24" s="196" t="s">
        <v>318</v>
      </c>
      <c r="C24" s="169"/>
      <c r="D24" s="169"/>
      <c r="E24" s="169"/>
      <c r="F24" s="169"/>
      <c r="G24" s="169"/>
      <c r="H24" s="169"/>
      <c r="J24" s="2" t="s">
        <v>297</v>
      </c>
      <c r="K24" s="196" t="s">
        <v>319</v>
      </c>
      <c r="L24" s="169"/>
      <c r="M24" s="169"/>
      <c r="N24" s="169"/>
      <c r="O24" s="169"/>
      <c r="P24" s="169"/>
      <c r="Q24" s="169"/>
    </row>
    <row r="25" spans="1:18" x14ac:dyDescent="0.2">
      <c r="A25" s="2" t="s">
        <v>299</v>
      </c>
      <c r="B25" s="196" t="s">
        <v>296</v>
      </c>
      <c r="C25" s="169"/>
      <c r="D25" s="169"/>
      <c r="E25" s="169"/>
      <c r="F25" s="169"/>
      <c r="G25" s="169"/>
      <c r="H25" s="169"/>
      <c r="J25" s="2" t="s">
        <v>300</v>
      </c>
      <c r="K25" s="196" t="s">
        <v>320</v>
      </c>
      <c r="L25" s="169"/>
      <c r="M25" s="169"/>
      <c r="N25" s="169"/>
      <c r="O25" s="169"/>
      <c r="P25" s="169"/>
      <c r="Q25" s="169"/>
    </row>
    <row r="26" spans="1:18" x14ac:dyDescent="0.2">
      <c r="A26" s="2" t="s">
        <v>302</v>
      </c>
      <c r="B26" s="196" t="s">
        <v>321</v>
      </c>
      <c r="C26" s="169"/>
      <c r="D26" s="169"/>
      <c r="E26" s="169"/>
      <c r="F26" s="169"/>
      <c r="G26" s="169"/>
      <c r="H26" s="169"/>
      <c r="J26" s="2" t="s">
        <v>304</v>
      </c>
      <c r="K26" s="196" t="s">
        <v>322</v>
      </c>
      <c r="L26" s="169"/>
      <c r="M26" s="169"/>
      <c r="N26" s="169"/>
      <c r="O26" s="169"/>
      <c r="P26" s="169"/>
      <c r="Q26" s="169"/>
    </row>
    <row r="28" spans="1:18" x14ac:dyDescent="0.2">
      <c r="A28" s="184" t="s">
        <v>306</v>
      </c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</row>
    <row r="29" spans="1:18" x14ac:dyDescent="0.2">
      <c r="A29" s="43" t="s">
        <v>307</v>
      </c>
      <c r="B29" s="16"/>
      <c r="C29" s="73">
        <f>ARGENTINA_SUPPLY!C25</f>
        <v>35</v>
      </c>
      <c r="D29" s="73">
        <f>ARGENTINA_SUPPLY!D25</f>
        <v>52</v>
      </c>
      <c r="E29" s="73">
        <f>ARGENTINA_SUPPLY!E25</f>
        <v>69</v>
      </c>
      <c r="F29" s="73">
        <f>ARGENTINA_SUPPLY!F25</f>
        <v>68</v>
      </c>
      <c r="G29" s="73">
        <f>ARGENTINA_SUPPLY!G25</f>
        <v>167</v>
      </c>
      <c r="H29" s="73">
        <f>ARGENTINA_SUPPLY!H25</f>
        <v>217</v>
      </c>
      <c r="I29" s="73">
        <f>ARGENTINA_SUPPLY!I25</f>
        <v>275</v>
      </c>
      <c r="J29" s="73">
        <f>ARGENTINA_SUPPLY!J25</f>
        <v>312</v>
      </c>
      <c r="K29" s="73">
        <f>ARGENTINA_SUPPLY!K25</f>
        <v>350</v>
      </c>
      <c r="L29" s="73">
        <f>ARGENTINA_SUPPLY!L25</f>
        <v>350</v>
      </c>
      <c r="M29" s="73">
        <f>ARGENTINA_SUPPLY!M25</f>
        <v>350</v>
      </c>
      <c r="N29" s="73">
        <f>ARGENTINA_SUPPLY!N25</f>
        <v>350</v>
      </c>
      <c r="O29" s="73">
        <f>ARGENTINA_SUPPLY!O25</f>
        <v>350</v>
      </c>
      <c r="P29" s="73">
        <f>ARGENTINA_SUPPLY!P25</f>
        <v>350</v>
      </c>
      <c r="Q29" s="73">
        <f>ARGENTINA_SUPPLY!Q25</f>
        <v>350</v>
      </c>
      <c r="R29" s="73">
        <f>ARGENTINA_SUPPLY!R25</f>
        <v>350</v>
      </c>
    </row>
    <row r="30" spans="1:18" x14ac:dyDescent="0.2">
      <c r="A30" s="10" t="s">
        <v>308</v>
      </c>
      <c r="B30" s="103"/>
      <c r="C30" s="104">
        <f>(PARAMETERS!$B$50*(1-0)+PARAMETERS!$C$50*0)</f>
        <v>9200</v>
      </c>
      <c r="D30" s="104">
        <f>(PARAMETERS!$B$50*(1-0.2)+PARAMETERS!$C$50*0.2)</f>
        <v>9320</v>
      </c>
      <c r="E30" s="104">
        <f>(PARAMETERS!$B$50*(1-0.4)+PARAMETERS!$C$50*0.4)</f>
        <v>9440</v>
      </c>
      <c r="F30" s="104">
        <f>(PARAMETERS!$B$50*(1-0.6)+PARAMETERS!$C$50*0.6)</f>
        <v>9560</v>
      </c>
      <c r="G30" s="104">
        <f>(PARAMETERS!$B$50*(1-0.8)+PARAMETERS!$C$50*0.8)</f>
        <v>9680</v>
      </c>
      <c r="H30" s="104">
        <f>(PARAMETERS!$B$50*(1-1)+PARAMETERS!$C$50*1)</f>
        <v>9800</v>
      </c>
      <c r="I30" s="104">
        <f>(PARAMETERS!$C$50*(1-0.2)+PARAMETERS!$D$50*0.2)</f>
        <v>9880</v>
      </c>
      <c r="J30" s="104">
        <f>(PARAMETERS!$C$50*(1-0.4)+PARAMETERS!$D$50*0.4)</f>
        <v>9960</v>
      </c>
      <c r="K30" s="104">
        <f>(PARAMETERS!$C$50*(1-0.6)+PARAMETERS!$D$50*0.6)</f>
        <v>10040</v>
      </c>
      <c r="L30" s="104">
        <f>(PARAMETERS!$C$50*(1-0.8)+PARAMETERS!$D$50*0.8)</f>
        <v>10120</v>
      </c>
      <c r="M30" s="104">
        <f>(PARAMETERS!$C$50*(1-1)+PARAMETERS!$D$50*1)</f>
        <v>10200</v>
      </c>
      <c r="N30" s="104">
        <f>(PARAMETERS!$D$50*(1-0.2)+PARAMETERS!$E$50*0.2)</f>
        <v>10260</v>
      </c>
      <c r="O30" s="104">
        <f>(PARAMETERS!$D$50*(1-0.4)+PARAMETERS!$E$50*0.4)</f>
        <v>10320</v>
      </c>
      <c r="P30" s="104">
        <f>(PARAMETERS!$D$50*(1-0.6)+PARAMETERS!$E$50*0.6)</f>
        <v>10380</v>
      </c>
      <c r="Q30" s="104">
        <f>(PARAMETERS!$D$50*(1-0.8)+PARAMETERS!$E$50*0.8)</f>
        <v>10440</v>
      </c>
      <c r="R30" s="104">
        <f>(PARAMETERS!$D$50*(1-1)+PARAMETERS!$E$50*1)</f>
        <v>10500</v>
      </c>
    </row>
    <row r="31" spans="1:18" x14ac:dyDescent="0.2">
      <c r="A31" s="43" t="s">
        <v>309</v>
      </c>
      <c r="B31" s="16"/>
      <c r="C31" s="14">
        <f t="shared" ref="C31:R31" si="2">(C29*C30)/1000</f>
        <v>322</v>
      </c>
      <c r="D31" s="14">
        <f t="shared" si="2"/>
        <v>484.64</v>
      </c>
      <c r="E31" s="14">
        <f t="shared" si="2"/>
        <v>651.36</v>
      </c>
      <c r="F31" s="14">
        <f t="shared" si="2"/>
        <v>650.08000000000004</v>
      </c>
      <c r="G31" s="14">
        <f t="shared" si="2"/>
        <v>1616.56</v>
      </c>
      <c r="H31" s="14">
        <f t="shared" si="2"/>
        <v>2126.6</v>
      </c>
      <c r="I31" s="14">
        <f t="shared" si="2"/>
        <v>2717</v>
      </c>
      <c r="J31" s="14">
        <f t="shared" si="2"/>
        <v>3107.52</v>
      </c>
      <c r="K31" s="14">
        <f t="shared" si="2"/>
        <v>3514</v>
      </c>
      <c r="L31" s="14">
        <f t="shared" si="2"/>
        <v>3542</v>
      </c>
      <c r="M31" s="14">
        <f t="shared" si="2"/>
        <v>3570</v>
      </c>
      <c r="N31" s="14">
        <f t="shared" si="2"/>
        <v>3591</v>
      </c>
      <c r="O31" s="14">
        <f t="shared" si="2"/>
        <v>3612</v>
      </c>
      <c r="P31" s="14">
        <f t="shared" si="2"/>
        <v>3633</v>
      </c>
      <c r="Q31" s="14">
        <f t="shared" si="2"/>
        <v>3654</v>
      </c>
      <c r="R31" s="14">
        <f t="shared" si="2"/>
        <v>3675</v>
      </c>
    </row>
    <row r="32" spans="1:18" x14ac:dyDescent="0.2">
      <c r="A32" s="10" t="s">
        <v>310</v>
      </c>
      <c r="B32" s="103"/>
      <c r="C32" s="105">
        <f>IF(AR_OPPORTUNITY!C$19&gt;0,AR_OPPORTUNITY!C$19,0)</f>
        <v>3750</v>
      </c>
      <c r="D32" s="105">
        <f>IF(AR_OPPORTUNITY!D$19&gt;0,AR_OPPORTUNITY!D$19,0)</f>
        <v>3600</v>
      </c>
      <c r="E32" s="105">
        <f>IF(AR_OPPORTUNITY!E$19&gt;0,AR_OPPORTUNITY!E$19,0)</f>
        <v>3350</v>
      </c>
      <c r="F32" s="105">
        <f>IF(AR_OPPORTUNITY!F$19&gt;0,AR_OPPORTUNITY!F$19,0)</f>
        <v>2490</v>
      </c>
      <c r="G32" s="105">
        <f>IF(AR_OPPORTUNITY!G$19&gt;0,AR_OPPORTUNITY!G$19,0)</f>
        <v>1490</v>
      </c>
      <c r="H32" s="105">
        <f>IF(AR_OPPORTUNITY!H$19&gt;0,AR_OPPORTUNITY!H$19,0)</f>
        <v>640</v>
      </c>
      <c r="I32" s="105">
        <f>IF(AR_OPPORTUNITY!I$19&gt;0,AR_OPPORTUNITY!I$19,0)</f>
        <v>140</v>
      </c>
      <c r="J32" s="105">
        <f>IF(AR_OPPORTUNITY!J$19&gt;0,AR_OPPORTUNITY!J$19,0)</f>
        <v>0</v>
      </c>
      <c r="K32" s="105">
        <f>IF(AR_OPPORTUNITY!K$19&gt;0,AR_OPPORTUNITY!K$19,0)</f>
        <v>0</v>
      </c>
      <c r="L32" s="105">
        <f>IF(AR_OPPORTUNITY!L$19&gt;0,AR_OPPORTUNITY!L$19,0)</f>
        <v>0</v>
      </c>
      <c r="M32" s="105">
        <f>IF(AR_OPPORTUNITY!M$19&gt;0,AR_OPPORTUNITY!M$19,0)</f>
        <v>0</v>
      </c>
      <c r="N32" s="105">
        <f>IF(AR_OPPORTUNITY!N$19&gt;0,AR_OPPORTUNITY!N$19,0)</f>
        <v>0</v>
      </c>
      <c r="O32" s="105">
        <f>IF(AR_OPPORTUNITY!O$19&gt;0,AR_OPPORTUNITY!O$19,0)</f>
        <v>0</v>
      </c>
      <c r="P32" s="105">
        <f>IF(AR_OPPORTUNITY!P$19&gt;0,AR_OPPORTUNITY!P$19,0)</f>
        <v>0</v>
      </c>
      <c r="Q32" s="105">
        <f>IF(AR_OPPORTUNITY!Q$19&gt;0,AR_OPPORTUNITY!Q$19,0)</f>
        <v>0</v>
      </c>
      <c r="R32" s="105">
        <f>IF(AR_OPPORTUNITY!R$19&gt;0,AR_OPPORTUNITY!R$19,0)</f>
        <v>0</v>
      </c>
    </row>
    <row r="33" spans="1:18" x14ac:dyDescent="0.2">
      <c r="A33" s="43" t="s">
        <v>311</v>
      </c>
      <c r="B33" s="16"/>
      <c r="C33" s="14">
        <f t="shared" ref="C33:R33" si="3">C31-C32</f>
        <v>-3428</v>
      </c>
      <c r="D33" s="14">
        <f t="shared" si="3"/>
        <v>-3115.36</v>
      </c>
      <c r="E33" s="14">
        <f t="shared" si="3"/>
        <v>-2698.64</v>
      </c>
      <c r="F33" s="14">
        <f t="shared" si="3"/>
        <v>-1839.92</v>
      </c>
      <c r="G33" s="14">
        <f t="shared" si="3"/>
        <v>126.55999999999995</v>
      </c>
      <c r="H33" s="14">
        <f t="shared" si="3"/>
        <v>1486.6</v>
      </c>
      <c r="I33" s="14">
        <f t="shared" si="3"/>
        <v>2577</v>
      </c>
      <c r="J33" s="14">
        <f t="shared" si="3"/>
        <v>3107.52</v>
      </c>
      <c r="K33" s="14">
        <f t="shared" si="3"/>
        <v>3514</v>
      </c>
      <c r="L33" s="14">
        <f t="shared" si="3"/>
        <v>3542</v>
      </c>
      <c r="M33" s="14">
        <f t="shared" si="3"/>
        <v>3570</v>
      </c>
      <c r="N33" s="14">
        <f t="shared" si="3"/>
        <v>3591</v>
      </c>
      <c r="O33" s="14">
        <f t="shared" si="3"/>
        <v>3612</v>
      </c>
      <c r="P33" s="14">
        <f t="shared" si="3"/>
        <v>3633</v>
      </c>
      <c r="Q33" s="14">
        <f t="shared" si="3"/>
        <v>3654</v>
      </c>
      <c r="R33" s="14">
        <f t="shared" si="3"/>
        <v>3675</v>
      </c>
    </row>
    <row r="36" spans="1:18" x14ac:dyDescent="0.2">
      <c r="A36" s="193" t="s">
        <v>323</v>
      </c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</row>
    <row r="37" spans="1:18" ht="35" customHeight="1" x14ac:dyDescent="0.2">
      <c r="A37" s="198" t="s">
        <v>324</v>
      </c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</row>
    <row r="38" spans="1:18" x14ac:dyDescent="0.2">
      <c r="A38" s="26" t="s">
        <v>287</v>
      </c>
      <c r="B38" s="196" t="s">
        <v>325</v>
      </c>
      <c r="C38" s="169"/>
      <c r="D38" s="169"/>
      <c r="E38" s="169"/>
      <c r="F38" s="169"/>
      <c r="G38" s="169"/>
      <c r="H38" s="169"/>
      <c r="J38" s="26" t="s">
        <v>289</v>
      </c>
      <c r="K38" s="196" t="s">
        <v>326</v>
      </c>
      <c r="L38" s="169"/>
      <c r="M38" s="169"/>
      <c r="N38" s="169"/>
      <c r="O38" s="169"/>
      <c r="P38" s="169"/>
      <c r="Q38" s="169"/>
    </row>
    <row r="39" spans="1:18" x14ac:dyDescent="0.2">
      <c r="A39" s="26" t="s">
        <v>291</v>
      </c>
      <c r="B39" s="196" t="s">
        <v>327</v>
      </c>
      <c r="C39" s="169"/>
      <c r="D39" s="169"/>
      <c r="E39" s="169"/>
      <c r="F39" s="169"/>
      <c r="G39" s="169"/>
      <c r="H39" s="169"/>
      <c r="J39" s="26" t="s">
        <v>293</v>
      </c>
      <c r="K39" s="196" t="s">
        <v>328</v>
      </c>
      <c r="L39" s="169"/>
      <c r="M39" s="169"/>
      <c r="N39" s="169"/>
      <c r="O39" s="169"/>
      <c r="P39" s="169"/>
      <c r="Q39" s="169"/>
    </row>
    <row r="40" spans="1:18" x14ac:dyDescent="0.2">
      <c r="A40" s="26" t="s">
        <v>295</v>
      </c>
      <c r="B40" s="196" t="s">
        <v>329</v>
      </c>
      <c r="C40" s="169"/>
      <c r="D40" s="169"/>
      <c r="E40" s="169"/>
      <c r="F40" s="169"/>
      <c r="G40" s="169"/>
      <c r="H40" s="169"/>
      <c r="J40" s="26" t="s">
        <v>297</v>
      </c>
      <c r="K40" s="196" t="s">
        <v>330</v>
      </c>
      <c r="L40" s="169"/>
      <c r="M40" s="169"/>
      <c r="N40" s="169"/>
      <c r="O40" s="169"/>
      <c r="P40" s="169"/>
      <c r="Q40" s="169"/>
    </row>
    <row r="41" spans="1:18" x14ac:dyDescent="0.2">
      <c r="A41" s="26" t="s">
        <v>299</v>
      </c>
      <c r="B41" s="196" t="s">
        <v>331</v>
      </c>
      <c r="C41" s="169"/>
      <c r="D41" s="169"/>
      <c r="E41" s="169"/>
      <c r="F41" s="169"/>
      <c r="G41" s="169"/>
      <c r="H41" s="169"/>
      <c r="J41" s="26" t="s">
        <v>300</v>
      </c>
      <c r="K41" s="196" t="s">
        <v>332</v>
      </c>
      <c r="L41" s="169"/>
      <c r="M41" s="169"/>
      <c r="N41" s="169"/>
      <c r="O41" s="169"/>
      <c r="P41" s="169"/>
      <c r="Q41" s="169"/>
    </row>
    <row r="42" spans="1:18" x14ac:dyDescent="0.2">
      <c r="A42" s="26" t="s">
        <v>302</v>
      </c>
      <c r="B42" s="196" t="s">
        <v>333</v>
      </c>
      <c r="C42" s="169"/>
      <c r="D42" s="169"/>
      <c r="E42" s="169"/>
      <c r="F42" s="169"/>
      <c r="G42" s="169"/>
      <c r="H42" s="169"/>
      <c r="J42" s="26" t="s">
        <v>304</v>
      </c>
      <c r="K42" s="196" t="s">
        <v>334</v>
      </c>
      <c r="L42" s="169"/>
      <c r="M42" s="169"/>
      <c r="N42" s="169"/>
      <c r="O42" s="169"/>
      <c r="P42" s="169"/>
      <c r="Q42" s="169"/>
    </row>
    <row r="44" spans="1:18" x14ac:dyDescent="0.2">
      <c r="A44" s="202" t="s">
        <v>306</v>
      </c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</row>
    <row r="45" spans="1:18" x14ac:dyDescent="0.2">
      <c r="A45" s="30" t="s">
        <v>307</v>
      </c>
      <c r="B45" s="74"/>
      <c r="C45" s="75">
        <f>ARGENTINA_SUPPLY!C36</f>
        <v>35</v>
      </c>
      <c r="D45" s="75">
        <f>ARGENTINA_SUPPLY!D36</f>
        <v>52</v>
      </c>
      <c r="E45" s="75">
        <f>ARGENTINA_SUPPLY!E36</f>
        <v>69</v>
      </c>
      <c r="F45" s="75">
        <f>ARGENTINA_SUPPLY!F36</f>
        <v>68</v>
      </c>
      <c r="G45" s="75">
        <f>ARGENTINA_SUPPLY!G36</f>
        <v>167</v>
      </c>
      <c r="H45" s="75">
        <f>ARGENTINA_SUPPLY!H36</f>
        <v>217</v>
      </c>
      <c r="I45" s="75">
        <f>ARGENTINA_SUPPLY!I36</f>
        <v>275</v>
      </c>
      <c r="J45" s="75">
        <f>ARGENTINA_SUPPLY!J36</f>
        <v>412</v>
      </c>
      <c r="K45" s="75">
        <f>ARGENTINA_SUPPLY!K36</f>
        <v>685</v>
      </c>
      <c r="L45" s="75">
        <f>ARGENTINA_SUPPLY!L36</f>
        <v>863</v>
      </c>
      <c r="M45" s="75">
        <f>ARGENTINA_SUPPLY!M36</f>
        <v>1022</v>
      </c>
      <c r="N45" s="75">
        <f>ARGENTINA_SUPPLY!N36</f>
        <v>1065</v>
      </c>
      <c r="O45" s="75">
        <f>ARGENTINA_SUPPLY!O36</f>
        <v>1090</v>
      </c>
      <c r="P45" s="75">
        <f>ARGENTINA_SUPPLY!P36</f>
        <v>1090</v>
      </c>
      <c r="Q45" s="75">
        <f>ARGENTINA_SUPPLY!Q36</f>
        <v>1090</v>
      </c>
      <c r="R45" s="75">
        <f>ARGENTINA_SUPPLY!R36</f>
        <v>1090</v>
      </c>
    </row>
    <row r="46" spans="1:18" x14ac:dyDescent="0.2">
      <c r="A46" s="10" t="s">
        <v>308</v>
      </c>
      <c r="B46" s="103"/>
      <c r="C46" s="104">
        <f>(PARAMETERS!$B$49*(1-0)+PARAMETERS!$C$49*0)</f>
        <v>10500</v>
      </c>
      <c r="D46" s="104">
        <f>(PARAMETERS!$B$49*(1-0.2)+PARAMETERS!$C$49*0.2)</f>
        <v>10800</v>
      </c>
      <c r="E46" s="104">
        <f>(PARAMETERS!$B$49*(1-0.4)+PARAMETERS!$C$49*0.4)</f>
        <v>11100</v>
      </c>
      <c r="F46" s="104">
        <f>(PARAMETERS!$B$49*(1-0.6)+PARAMETERS!$C$49*0.6)</f>
        <v>11400</v>
      </c>
      <c r="G46" s="104">
        <f>(PARAMETERS!$B$49*(1-0.8)+PARAMETERS!$C$49*0.8)</f>
        <v>11700</v>
      </c>
      <c r="H46" s="104">
        <f>(PARAMETERS!$B$49*(1-1)+PARAMETERS!$C$49*1)</f>
        <v>12000</v>
      </c>
      <c r="I46" s="104">
        <f>(PARAMETERS!$C$49*(1-0.2)+PARAMETERS!$D$49*0.2)</f>
        <v>12200</v>
      </c>
      <c r="J46" s="104">
        <f>(PARAMETERS!$C$49*(1-0.4)+PARAMETERS!$D$49*0.4)</f>
        <v>12400</v>
      </c>
      <c r="K46" s="104">
        <f>(PARAMETERS!$C$49*(1-0.6)+PARAMETERS!$D$49*0.6)</f>
        <v>12600</v>
      </c>
      <c r="L46" s="104">
        <f>(PARAMETERS!$C$49*(1-0.8)+PARAMETERS!$D$49*0.8)</f>
        <v>12800</v>
      </c>
      <c r="M46" s="104">
        <f>(PARAMETERS!$C$49*(1-1)+PARAMETERS!$D$49*1)</f>
        <v>13000</v>
      </c>
      <c r="N46" s="104">
        <f>(PARAMETERS!$D$49*(1-0.2)+PARAMETERS!$E$49*0.2)</f>
        <v>13200</v>
      </c>
      <c r="O46" s="104">
        <f>(PARAMETERS!$D$49*(1-0.4)+PARAMETERS!$E$49*0.4)</f>
        <v>13400</v>
      </c>
      <c r="P46" s="104">
        <f>(PARAMETERS!$D$49*(1-0.6)+PARAMETERS!$E$49*0.6)</f>
        <v>13600</v>
      </c>
      <c r="Q46" s="104">
        <f>(PARAMETERS!$D$49*(1-0.8)+PARAMETERS!$E$49*0.8)</f>
        <v>13800</v>
      </c>
      <c r="R46" s="104">
        <f>(PARAMETERS!$D$49*(1-1)+PARAMETERS!$E$49*1)</f>
        <v>14000</v>
      </c>
    </row>
    <row r="47" spans="1:18" x14ac:dyDescent="0.2">
      <c r="A47" s="30" t="s">
        <v>309</v>
      </c>
      <c r="B47" s="74"/>
      <c r="C47" s="32">
        <f t="shared" ref="C47:R47" si="4">(C45*C46)/1000</f>
        <v>367.5</v>
      </c>
      <c r="D47" s="32">
        <f t="shared" si="4"/>
        <v>561.6</v>
      </c>
      <c r="E47" s="32">
        <f t="shared" si="4"/>
        <v>765.9</v>
      </c>
      <c r="F47" s="32">
        <f t="shared" si="4"/>
        <v>775.2</v>
      </c>
      <c r="G47" s="32">
        <f t="shared" si="4"/>
        <v>1953.9</v>
      </c>
      <c r="H47" s="32">
        <f t="shared" si="4"/>
        <v>2604</v>
      </c>
      <c r="I47" s="32">
        <f t="shared" si="4"/>
        <v>3355</v>
      </c>
      <c r="J47" s="32">
        <f t="shared" si="4"/>
        <v>5108.8</v>
      </c>
      <c r="K47" s="32">
        <f t="shared" si="4"/>
        <v>8631</v>
      </c>
      <c r="L47" s="32">
        <f t="shared" si="4"/>
        <v>11046.4</v>
      </c>
      <c r="M47" s="32">
        <f t="shared" si="4"/>
        <v>13286</v>
      </c>
      <c r="N47" s="32">
        <f t="shared" si="4"/>
        <v>14058</v>
      </c>
      <c r="O47" s="32">
        <f t="shared" si="4"/>
        <v>14606</v>
      </c>
      <c r="P47" s="32">
        <f t="shared" si="4"/>
        <v>14824</v>
      </c>
      <c r="Q47" s="32">
        <f t="shared" si="4"/>
        <v>15042</v>
      </c>
      <c r="R47" s="32">
        <f t="shared" si="4"/>
        <v>15260</v>
      </c>
    </row>
    <row r="48" spans="1:18" x14ac:dyDescent="0.2">
      <c r="A48" s="10" t="s">
        <v>310</v>
      </c>
      <c r="B48" s="103"/>
      <c r="C48" s="105">
        <f>IF(AR_OPPORTUNITY!C$19&gt;0,AR_OPPORTUNITY!C$19,0)</f>
        <v>3750</v>
      </c>
      <c r="D48" s="105">
        <f>IF(AR_OPPORTUNITY!D$19&gt;0,AR_OPPORTUNITY!D$19,0)</f>
        <v>3600</v>
      </c>
      <c r="E48" s="105">
        <f>IF(AR_OPPORTUNITY!E$19&gt;0,AR_OPPORTUNITY!E$19,0)</f>
        <v>3350</v>
      </c>
      <c r="F48" s="105">
        <f>IF(AR_OPPORTUNITY!F$19&gt;0,AR_OPPORTUNITY!F$19,0)</f>
        <v>2490</v>
      </c>
      <c r="G48" s="105">
        <f>IF(AR_OPPORTUNITY!G$19&gt;0,AR_OPPORTUNITY!G$19,0)</f>
        <v>1490</v>
      </c>
      <c r="H48" s="105">
        <f>IF(AR_OPPORTUNITY!H$19&gt;0,AR_OPPORTUNITY!H$19,0)</f>
        <v>640</v>
      </c>
      <c r="I48" s="105">
        <f>IF(AR_OPPORTUNITY!I$19&gt;0,AR_OPPORTUNITY!I$19,0)</f>
        <v>140</v>
      </c>
      <c r="J48" s="105">
        <f>IF(AR_OPPORTUNITY!J$19&gt;0,AR_OPPORTUNITY!J$19,0)</f>
        <v>0</v>
      </c>
      <c r="K48" s="105">
        <f>IF(AR_OPPORTUNITY!K$19&gt;0,AR_OPPORTUNITY!K$19,0)</f>
        <v>0</v>
      </c>
      <c r="L48" s="105">
        <f>IF(AR_OPPORTUNITY!L$19&gt;0,AR_OPPORTUNITY!L$19,0)</f>
        <v>0</v>
      </c>
      <c r="M48" s="105">
        <f>IF(AR_OPPORTUNITY!M$19&gt;0,AR_OPPORTUNITY!M$19,0)</f>
        <v>0</v>
      </c>
      <c r="N48" s="105">
        <f>IF(AR_OPPORTUNITY!N$19&gt;0,AR_OPPORTUNITY!N$19,0)</f>
        <v>0</v>
      </c>
      <c r="O48" s="105">
        <f>IF(AR_OPPORTUNITY!O$19&gt;0,AR_OPPORTUNITY!O$19,0)</f>
        <v>0</v>
      </c>
      <c r="P48" s="105">
        <f>IF(AR_OPPORTUNITY!P$19&gt;0,AR_OPPORTUNITY!P$19,0)</f>
        <v>0</v>
      </c>
      <c r="Q48" s="105">
        <f>IF(AR_OPPORTUNITY!Q$19&gt;0,AR_OPPORTUNITY!Q$19,0)</f>
        <v>0</v>
      </c>
      <c r="R48" s="105">
        <f>IF(AR_OPPORTUNITY!R$19&gt;0,AR_OPPORTUNITY!R$19,0)</f>
        <v>0</v>
      </c>
    </row>
    <row r="49" spans="1:18" x14ac:dyDescent="0.2">
      <c r="A49" s="30" t="s">
        <v>311</v>
      </c>
      <c r="B49" s="74"/>
      <c r="C49" s="32">
        <f t="shared" ref="C49:R49" si="5">C47-C48</f>
        <v>-3382.5</v>
      </c>
      <c r="D49" s="32">
        <f t="shared" si="5"/>
        <v>-3038.4</v>
      </c>
      <c r="E49" s="32">
        <f t="shared" si="5"/>
        <v>-2584.1</v>
      </c>
      <c r="F49" s="32">
        <f t="shared" si="5"/>
        <v>-1714.8</v>
      </c>
      <c r="G49" s="32">
        <f t="shared" si="5"/>
        <v>463.90000000000009</v>
      </c>
      <c r="H49" s="32">
        <f t="shared" si="5"/>
        <v>1964</v>
      </c>
      <c r="I49" s="32">
        <f t="shared" si="5"/>
        <v>3215</v>
      </c>
      <c r="J49" s="32">
        <f t="shared" si="5"/>
        <v>5108.8</v>
      </c>
      <c r="K49" s="32">
        <f t="shared" si="5"/>
        <v>8631</v>
      </c>
      <c r="L49" s="32">
        <f t="shared" si="5"/>
        <v>11046.4</v>
      </c>
      <c r="M49" s="32">
        <f t="shared" si="5"/>
        <v>13286</v>
      </c>
      <c r="N49" s="32">
        <f t="shared" si="5"/>
        <v>14058</v>
      </c>
      <c r="O49" s="32">
        <f t="shared" si="5"/>
        <v>14606</v>
      </c>
      <c r="P49" s="32">
        <f t="shared" si="5"/>
        <v>14824</v>
      </c>
      <c r="Q49" s="32">
        <f t="shared" si="5"/>
        <v>15042</v>
      </c>
      <c r="R49" s="32">
        <f t="shared" si="5"/>
        <v>15260</v>
      </c>
    </row>
    <row r="52" spans="1:18" x14ac:dyDescent="0.2">
      <c r="A52" s="168" t="s">
        <v>335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</row>
    <row r="53" spans="1:18" x14ac:dyDescent="0.2">
      <c r="A53" s="19" t="s">
        <v>336</v>
      </c>
      <c r="B53" s="5" t="s">
        <v>337</v>
      </c>
      <c r="C53" s="5" t="s">
        <v>338</v>
      </c>
      <c r="D53" s="5" t="s">
        <v>339</v>
      </c>
    </row>
    <row r="54" spans="1:18" x14ac:dyDescent="0.2">
      <c r="A54" s="6" t="s">
        <v>340</v>
      </c>
      <c r="B54" s="12" t="s">
        <v>341</v>
      </c>
      <c r="C54" s="9" t="s">
        <v>342</v>
      </c>
      <c r="D54" s="31" t="s">
        <v>343</v>
      </c>
    </row>
    <row r="55" spans="1:18" x14ac:dyDescent="0.2">
      <c r="A55" s="10" t="s">
        <v>344</v>
      </c>
      <c r="B55" s="12" t="s">
        <v>345</v>
      </c>
      <c r="C55" s="9" t="s">
        <v>346</v>
      </c>
      <c r="D55" s="31" t="s">
        <v>347</v>
      </c>
    </row>
    <row r="56" spans="1:18" x14ac:dyDescent="0.2">
      <c r="A56" s="6" t="s">
        <v>348</v>
      </c>
      <c r="B56" s="12" t="s">
        <v>349</v>
      </c>
      <c r="C56" s="9" t="s">
        <v>350</v>
      </c>
      <c r="D56" s="31" t="s">
        <v>345</v>
      </c>
    </row>
    <row r="57" spans="1:18" x14ac:dyDescent="0.2">
      <c r="A57" s="10" t="s">
        <v>351</v>
      </c>
      <c r="B57" s="12" t="s">
        <v>352</v>
      </c>
      <c r="C57" s="9" t="s">
        <v>353</v>
      </c>
      <c r="D57" s="31" t="s">
        <v>354</v>
      </c>
    </row>
    <row r="58" spans="1:18" x14ac:dyDescent="0.2">
      <c r="A58" s="6" t="s">
        <v>355</v>
      </c>
      <c r="B58" s="12" t="s">
        <v>356</v>
      </c>
      <c r="C58" s="9" t="s">
        <v>357</v>
      </c>
      <c r="D58" s="31" t="s">
        <v>358</v>
      </c>
    </row>
    <row r="59" spans="1:18" x14ac:dyDescent="0.2">
      <c r="A59" s="10" t="s">
        <v>359</v>
      </c>
      <c r="B59" s="12" t="s">
        <v>360</v>
      </c>
      <c r="C59" s="9" t="s">
        <v>361</v>
      </c>
      <c r="D59" s="31" t="s">
        <v>362</v>
      </c>
    </row>
    <row r="60" spans="1:18" x14ac:dyDescent="0.2">
      <c r="A60" s="6" t="s">
        <v>304</v>
      </c>
      <c r="B60" s="12" t="s">
        <v>363</v>
      </c>
      <c r="C60" s="9" t="s">
        <v>364</v>
      </c>
      <c r="D60" s="31" t="s">
        <v>365</v>
      </c>
    </row>
    <row r="61" spans="1:18" x14ac:dyDescent="0.2">
      <c r="A61" s="10" t="s">
        <v>366</v>
      </c>
      <c r="B61" s="12" t="s">
        <v>367</v>
      </c>
      <c r="C61" s="9" t="s">
        <v>368</v>
      </c>
      <c r="D61" s="31" t="s">
        <v>369</v>
      </c>
    </row>
    <row r="62" spans="1:18" x14ac:dyDescent="0.2">
      <c r="A62" s="2" t="s">
        <v>370</v>
      </c>
      <c r="B62" s="106" t="s">
        <v>371</v>
      </c>
      <c r="C62" s="107" t="s">
        <v>372</v>
      </c>
      <c r="D62" s="108" t="s">
        <v>373</v>
      </c>
    </row>
    <row r="64" spans="1:18" ht="75" customHeight="1" x14ac:dyDescent="0.2">
      <c r="A64" s="197" t="s">
        <v>374</v>
      </c>
      <c r="B64" s="169"/>
      <c r="C64" s="169"/>
      <c r="D64" s="169"/>
    </row>
  </sheetData>
  <mergeCells count="42">
    <mergeCell ref="A4:R4"/>
    <mergeCell ref="A20:R20"/>
    <mergeCell ref="B22:H22"/>
    <mergeCell ref="A1:P1"/>
    <mergeCell ref="A52:R52"/>
    <mergeCell ref="K26:Q26"/>
    <mergeCell ref="A28:R28"/>
    <mergeCell ref="B39:H39"/>
    <mergeCell ref="A44:R44"/>
    <mergeCell ref="B42:H42"/>
    <mergeCell ref="B23:H23"/>
    <mergeCell ref="K41:Q41"/>
    <mergeCell ref="B8:H8"/>
    <mergeCell ref="K22:Q22"/>
    <mergeCell ref="K40:Q40"/>
    <mergeCell ref="A36:R36"/>
    <mergeCell ref="B41:H41"/>
    <mergeCell ref="A64:D64"/>
    <mergeCell ref="K25:Q25"/>
    <mergeCell ref="A5:R5"/>
    <mergeCell ref="B7:H7"/>
    <mergeCell ref="B25:H25"/>
    <mergeCell ref="K24:Q24"/>
    <mergeCell ref="K9:Q9"/>
    <mergeCell ref="B38:H38"/>
    <mergeCell ref="B10:H10"/>
    <mergeCell ref="K8:Q8"/>
    <mergeCell ref="K42:Q42"/>
    <mergeCell ref="B40:H40"/>
    <mergeCell ref="B9:H9"/>
    <mergeCell ref="K39:Q39"/>
    <mergeCell ref="K23:Q23"/>
    <mergeCell ref="B6:H6"/>
    <mergeCell ref="K7:Q7"/>
    <mergeCell ref="B24:H24"/>
    <mergeCell ref="A37:R37"/>
    <mergeCell ref="K38:Q38"/>
    <mergeCell ref="K10:Q10"/>
    <mergeCell ref="A12:R12"/>
    <mergeCell ref="A21:R21"/>
    <mergeCell ref="B26:H26"/>
    <mergeCell ref="K6:Q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N39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3" width="10" customWidth="1"/>
    <col min="4" max="4" width="80" customWidth="1"/>
    <col min="5" max="14" width="6" customWidth="1"/>
  </cols>
  <sheetData>
    <row r="1" spans="1:14" ht="17" x14ac:dyDescent="0.2">
      <c r="A1" s="191" t="s">
        <v>375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2"/>
    </row>
    <row r="2" spans="1:14" ht="30" customHeight="1" x14ac:dyDescent="0.2">
      <c r="A2" s="206" t="s">
        <v>376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</row>
    <row r="4" spans="1:14" x14ac:dyDescent="0.2">
      <c r="A4" s="193" t="s">
        <v>377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</row>
    <row r="5" spans="1:14" ht="18" customHeight="1" x14ac:dyDescent="0.2">
      <c r="A5" s="109" t="s">
        <v>378</v>
      </c>
      <c r="B5" s="203" t="s">
        <v>379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</row>
    <row r="6" spans="1:14" ht="55" customHeight="1" x14ac:dyDescent="0.2">
      <c r="A6" s="109" t="s">
        <v>380</v>
      </c>
      <c r="B6" s="203" t="s">
        <v>381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</row>
    <row r="7" spans="1:14" ht="18" customHeight="1" x14ac:dyDescent="0.2">
      <c r="A7" s="109" t="s">
        <v>382</v>
      </c>
      <c r="B7" s="203" t="s">
        <v>383</v>
      </c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</row>
    <row r="8" spans="1:14" ht="18" customHeight="1" x14ac:dyDescent="0.2">
      <c r="A8" s="109" t="s">
        <v>384</v>
      </c>
      <c r="B8" s="203" t="s">
        <v>385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</row>
    <row r="9" spans="1:14" ht="18" customHeight="1" x14ac:dyDescent="0.2">
      <c r="A9" s="109" t="s">
        <v>386</v>
      </c>
      <c r="B9" s="203" t="s">
        <v>387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</row>
    <row r="10" spans="1:14" ht="18" customHeight="1" x14ac:dyDescent="0.2">
      <c r="A10" s="109" t="s">
        <v>388</v>
      </c>
      <c r="B10" s="203" t="s">
        <v>389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</row>
    <row r="12" spans="1:14" x14ac:dyDescent="0.2">
      <c r="A12" s="194" t="s">
        <v>390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</row>
    <row r="13" spans="1:14" ht="18" customHeight="1" x14ac:dyDescent="0.2">
      <c r="A13" s="110" t="s">
        <v>378</v>
      </c>
      <c r="B13" s="203" t="s">
        <v>391</v>
      </c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</row>
    <row r="14" spans="1:14" ht="55" customHeight="1" x14ac:dyDescent="0.2">
      <c r="A14" s="110" t="s">
        <v>380</v>
      </c>
      <c r="B14" s="203" t="s">
        <v>392</v>
      </c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</row>
    <row r="15" spans="1:14" ht="18" customHeight="1" x14ac:dyDescent="0.2">
      <c r="A15" s="110" t="s">
        <v>382</v>
      </c>
      <c r="B15" s="203" t="s">
        <v>393</v>
      </c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</row>
    <row r="16" spans="1:14" ht="18" customHeight="1" x14ac:dyDescent="0.2">
      <c r="A16" s="110" t="s">
        <v>384</v>
      </c>
      <c r="B16" s="203" t="s">
        <v>394</v>
      </c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</row>
    <row r="17" spans="1:14" ht="18" customHeight="1" x14ac:dyDescent="0.2">
      <c r="A17" s="110" t="s">
        <v>386</v>
      </c>
      <c r="B17" s="203" t="s">
        <v>395</v>
      </c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</row>
    <row r="18" spans="1:14" ht="18" customHeight="1" x14ac:dyDescent="0.2">
      <c r="A18" s="110" t="s">
        <v>388</v>
      </c>
      <c r="B18" s="203" t="s">
        <v>396</v>
      </c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</row>
    <row r="20" spans="1:14" x14ac:dyDescent="0.2">
      <c r="A20" s="187" t="s">
        <v>397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</row>
    <row r="21" spans="1:14" ht="18" customHeight="1" x14ac:dyDescent="0.2">
      <c r="A21" s="111" t="s">
        <v>378</v>
      </c>
      <c r="B21" s="203" t="s">
        <v>398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</row>
    <row r="22" spans="1:14" ht="55" customHeight="1" x14ac:dyDescent="0.2">
      <c r="A22" s="111" t="s">
        <v>380</v>
      </c>
      <c r="B22" s="203" t="s">
        <v>399</v>
      </c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</row>
    <row r="23" spans="1:14" ht="18" customHeight="1" x14ac:dyDescent="0.2">
      <c r="A23" s="111" t="s">
        <v>382</v>
      </c>
      <c r="B23" s="203" t="s">
        <v>400</v>
      </c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</row>
    <row r="24" spans="1:14" ht="18" customHeight="1" x14ac:dyDescent="0.2">
      <c r="A24" s="111" t="s">
        <v>384</v>
      </c>
      <c r="B24" s="203" t="s">
        <v>401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</row>
    <row r="25" spans="1:14" ht="18" customHeight="1" x14ac:dyDescent="0.2">
      <c r="A25" s="111" t="s">
        <v>386</v>
      </c>
      <c r="B25" s="203" t="s">
        <v>402</v>
      </c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</row>
    <row r="26" spans="1:14" ht="18" customHeight="1" x14ac:dyDescent="0.2">
      <c r="A26" s="111" t="s">
        <v>388</v>
      </c>
      <c r="B26" s="203" t="s">
        <v>403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</row>
    <row r="28" spans="1:14" x14ac:dyDescent="0.2">
      <c r="A28" s="211" t="s">
        <v>404</v>
      </c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</row>
    <row r="29" spans="1:14" ht="18" customHeight="1" x14ac:dyDescent="0.2">
      <c r="A29" s="112" t="s">
        <v>378</v>
      </c>
      <c r="B29" s="203" t="s">
        <v>405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</row>
    <row r="30" spans="1:14" ht="55" customHeight="1" x14ac:dyDescent="0.2">
      <c r="A30" s="112" t="s">
        <v>380</v>
      </c>
      <c r="B30" s="203" t="s">
        <v>406</v>
      </c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</row>
    <row r="31" spans="1:14" ht="18" customHeight="1" x14ac:dyDescent="0.2">
      <c r="A31" s="112" t="s">
        <v>382</v>
      </c>
      <c r="B31" s="203" t="s">
        <v>407</v>
      </c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</row>
    <row r="32" spans="1:14" ht="18" customHeight="1" x14ac:dyDescent="0.2">
      <c r="A32" s="112" t="s">
        <v>384</v>
      </c>
      <c r="B32" s="203" t="s">
        <v>408</v>
      </c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</row>
    <row r="33" spans="1:14" ht="18" customHeight="1" x14ac:dyDescent="0.2">
      <c r="A33" s="112" t="s">
        <v>386</v>
      </c>
      <c r="B33" s="203" t="s">
        <v>409</v>
      </c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</row>
    <row r="34" spans="1:14" ht="18" customHeight="1" x14ac:dyDescent="0.2">
      <c r="A34" s="112" t="s">
        <v>388</v>
      </c>
      <c r="B34" s="203" t="s">
        <v>410</v>
      </c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</row>
    <row r="36" spans="1:14" x14ac:dyDescent="0.2">
      <c r="A36" s="168" t="s">
        <v>411</v>
      </c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</row>
    <row r="37" spans="1:14" ht="45" customHeight="1" x14ac:dyDescent="0.2">
      <c r="A37" s="204" t="s">
        <v>412</v>
      </c>
      <c r="B37" s="169"/>
      <c r="C37" s="169"/>
      <c r="D37" s="207" t="s">
        <v>413</v>
      </c>
      <c r="E37" s="169"/>
      <c r="F37" s="169"/>
      <c r="G37" s="169"/>
      <c r="H37" s="169"/>
      <c r="I37" s="169"/>
      <c r="J37" s="169"/>
      <c r="K37" s="169"/>
      <c r="L37" s="169"/>
      <c r="M37" s="169"/>
      <c r="N37" s="169"/>
    </row>
    <row r="38" spans="1:14" ht="45" customHeight="1" x14ac:dyDescent="0.2">
      <c r="A38" s="205" t="s">
        <v>414</v>
      </c>
      <c r="B38" s="169"/>
      <c r="C38" s="169"/>
      <c r="D38" s="210" t="s">
        <v>415</v>
      </c>
      <c r="E38" s="169"/>
      <c r="F38" s="169"/>
      <c r="G38" s="169"/>
      <c r="H38" s="169"/>
      <c r="I38" s="169"/>
      <c r="J38" s="169"/>
      <c r="K38" s="169"/>
      <c r="L38" s="169"/>
      <c r="M38" s="169"/>
      <c r="N38" s="169"/>
    </row>
    <row r="39" spans="1:14" ht="45" customHeight="1" x14ac:dyDescent="0.2">
      <c r="A39" s="208" t="s">
        <v>416</v>
      </c>
      <c r="B39" s="169"/>
      <c r="C39" s="169"/>
      <c r="D39" s="209" t="s">
        <v>417</v>
      </c>
      <c r="E39" s="169"/>
      <c r="F39" s="169"/>
      <c r="G39" s="169"/>
      <c r="H39" s="169"/>
      <c r="I39" s="169"/>
      <c r="J39" s="169"/>
      <c r="K39" s="169"/>
      <c r="L39" s="169"/>
      <c r="M39" s="169"/>
      <c r="N39" s="169"/>
    </row>
  </sheetData>
  <mergeCells count="37">
    <mergeCell ref="A39:C39"/>
    <mergeCell ref="B14:N14"/>
    <mergeCell ref="B23:N23"/>
    <mergeCell ref="A4:N4"/>
    <mergeCell ref="B8:N8"/>
    <mergeCell ref="A20:N20"/>
    <mergeCell ref="D39:N39"/>
    <mergeCell ref="B17:N17"/>
    <mergeCell ref="B13:N13"/>
    <mergeCell ref="D38:N38"/>
    <mergeCell ref="B29:N29"/>
    <mergeCell ref="A28:N28"/>
    <mergeCell ref="B34:N34"/>
    <mergeCell ref="B10:N10"/>
    <mergeCell ref="A38:C38"/>
    <mergeCell ref="B22:N22"/>
    <mergeCell ref="B31:N31"/>
    <mergeCell ref="A12:N12"/>
    <mergeCell ref="A2:N2"/>
    <mergeCell ref="B18:N18"/>
    <mergeCell ref="B21:N21"/>
    <mergeCell ref="D37:N37"/>
    <mergeCell ref="B6:N6"/>
    <mergeCell ref="B24:N24"/>
    <mergeCell ref="A36:N36"/>
    <mergeCell ref="A1:N1"/>
    <mergeCell ref="B5:N5"/>
    <mergeCell ref="B32:N32"/>
    <mergeCell ref="B26:N26"/>
    <mergeCell ref="B7:N7"/>
    <mergeCell ref="B25:N25"/>
    <mergeCell ref="B16:N16"/>
    <mergeCell ref="B9:N9"/>
    <mergeCell ref="A37:C37"/>
    <mergeCell ref="B30:N30"/>
    <mergeCell ref="B15:N15"/>
    <mergeCell ref="B33:N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9000"/>
  </sheetPr>
  <dimension ref="A1:T89"/>
  <sheetViews>
    <sheetView showGridLines="0" workbookViewId="0">
      <pane xSplit="4" ySplit="5" topLeftCell="E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8" customWidth="1"/>
    <col min="2" max="2" width="8" customWidth="1"/>
    <col min="3" max="3" width="13" customWidth="1"/>
    <col min="4" max="4" width="15" customWidth="1"/>
    <col min="5" max="5" width="13" customWidth="1"/>
    <col min="6" max="6" width="14" customWidth="1"/>
    <col min="7" max="7" width="28" customWidth="1"/>
    <col min="8" max="8" width="13" customWidth="1"/>
    <col min="9" max="9" width="15" customWidth="1"/>
    <col min="10" max="10" width="13" customWidth="1"/>
    <col min="11" max="11" width="12" customWidth="1"/>
    <col min="12" max="12" width="28" customWidth="1"/>
    <col min="13" max="13" width="13" customWidth="1"/>
    <col min="14" max="14" width="15" customWidth="1"/>
    <col min="15" max="15" width="13" customWidth="1"/>
    <col min="16" max="16" width="12" customWidth="1"/>
    <col min="17" max="17" width="28" customWidth="1"/>
  </cols>
  <sheetData>
    <row r="1" spans="1:20" ht="22" customHeight="1" x14ac:dyDescent="0.2">
      <c r="A1" s="216" t="s">
        <v>418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1:20" ht="28" customHeight="1" x14ac:dyDescent="0.2">
      <c r="A2" s="223" t="s">
        <v>419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</row>
    <row r="3" spans="1:20" ht="12" customHeight="1" x14ac:dyDescent="0.2"/>
    <row r="4" spans="1:20" ht="22" customHeight="1" x14ac:dyDescent="0.2">
      <c r="A4" s="220" t="s">
        <v>420</v>
      </c>
      <c r="B4" s="113" t="s">
        <v>202</v>
      </c>
      <c r="C4" s="217" t="s">
        <v>421</v>
      </c>
      <c r="D4" s="169"/>
      <c r="E4" s="169"/>
      <c r="F4" s="169"/>
      <c r="G4" s="169"/>
      <c r="H4" s="215" t="s">
        <v>422</v>
      </c>
      <c r="I4" s="169"/>
      <c r="J4" s="169"/>
      <c r="K4" s="169"/>
      <c r="L4" s="169"/>
      <c r="M4" s="225" t="s">
        <v>423</v>
      </c>
      <c r="N4" s="169"/>
      <c r="O4" s="169"/>
      <c r="P4" s="169"/>
      <c r="Q4" s="169"/>
    </row>
    <row r="5" spans="1:20" ht="28" customHeight="1" x14ac:dyDescent="0.2">
      <c r="A5" s="169"/>
      <c r="C5" s="123" t="s">
        <v>424</v>
      </c>
      <c r="D5" s="124" t="s">
        <v>425</v>
      </c>
      <c r="E5" s="125" t="s">
        <v>426</v>
      </c>
      <c r="F5" s="126" t="s">
        <v>427</v>
      </c>
      <c r="G5" s="127" t="s">
        <v>128</v>
      </c>
      <c r="H5" s="123" t="s">
        <v>424</v>
      </c>
      <c r="I5" s="124" t="s">
        <v>425</v>
      </c>
      <c r="J5" s="125" t="s">
        <v>426</v>
      </c>
      <c r="K5" s="126" t="s">
        <v>427</v>
      </c>
      <c r="L5" s="127" t="s">
        <v>128</v>
      </c>
      <c r="M5" s="123" t="s">
        <v>424</v>
      </c>
      <c r="N5" s="124" t="s">
        <v>425</v>
      </c>
      <c r="O5" s="125" t="s">
        <v>426</v>
      </c>
      <c r="P5" s="126" t="s">
        <v>427</v>
      </c>
      <c r="Q5" s="127" t="s">
        <v>128</v>
      </c>
    </row>
    <row r="6" spans="1:20" ht="16" customHeight="1" x14ac:dyDescent="0.2">
      <c r="A6" s="168" t="s">
        <v>428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</row>
    <row r="7" spans="1:20" x14ac:dyDescent="0.2">
      <c r="A7" s="218" t="s">
        <v>429</v>
      </c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</row>
    <row r="8" spans="1:20" x14ac:dyDescent="0.2">
      <c r="A8" s="2" t="s">
        <v>430</v>
      </c>
      <c r="B8" s="128" t="s">
        <v>208</v>
      </c>
      <c r="C8" s="129">
        <f>DEMAND_FORECAST!H36</f>
        <v>27964.167784709694</v>
      </c>
      <c r="D8" s="130">
        <f>DEMAND_FORECAST!H25</f>
        <v>29808.692402208821</v>
      </c>
      <c r="E8" s="75">
        <f>DEMAND_FORECAST!H14</f>
        <v>31690.32304302937</v>
      </c>
      <c r="F8" s="131">
        <f>E8-C8</f>
        <v>3726.1552583196753</v>
      </c>
      <c r="G8" s="21"/>
      <c r="H8" s="129">
        <f>DEMAND_FORECAST!M36</f>
        <v>30226.318824305217</v>
      </c>
      <c r="I8" s="130">
        <f>DEMAND_FORECAST!M25</f>
        <v>34550.417743365826</v>
      </c>
      <c r="J8" s="75">
        <f>DEMAND_FORECAST!M14</f>
        <v>39335.086633055085</v>
      </c>
      <c r="K8" s="131">
        <f>J8-H8</f>
        <v>9108.767808749868</v>
      </c>
      <c r="L8" s="21"/>
      <c r="M8" s="129">
        <f>DEMAND_FORECAST!R36</f>
        <v>32840.966306098075</v>
      </c>
      <c r="N8" s="130">
        <f>DEMAND_FORECAST!R25</f>
        <v>40505.314083022851</v>
      </c>
      <c r="O8" s="75">
        <f>DEMAND_FORECAST!R14</f>
        <v>49763.289017041432</v>
      </c>
      <c r="P8" s="131">
        <f>O8-M8</f>
        <v>16922.322710943357</v>
      </c>
      <c r="Q8" s="21"/>
    </row>
    <row r="9" spans="1:20" x14ac:dyDescent="0.2">
      <c r="A9" s="10" t="s">
        <v>431</v>
      </c>
      <c r="B9" s="67" t="s">
        <v>208</v>
      </c>
      <c r="C9" s="132" t="s">
        <v>432</v>
      </c>
      <c r="D9" s="133" t="s">
        <v>432</v>
      </c>
      <c r="E9" s="134" t="s">
        <v>432</v>
      </c>
      <c r="F9" s="1"/>
      <c r="G9" s="21" t="s">
        <v>433</v>
      </c>
      <c r="H9" s="132" t="s">
        <v>432</v>
      </c>
      <c r="I9" s="133" t="s">
        <v>432</v>
      </c>
      <c r="J9" s="134" t="s">
        <v>432</v>
      </c>
      <c r="K9" s="1"/>
      <c r="L9" s="21" t="s">
        <v>434</v>
      </c>
      <c r="M9" s="132" t="s">
        <v>432</v>
      </c>
      <c r="N9" s="133" t="s">
        <v>432</v>
      </c>
      <c r="O9" s="134" t="s">
        <v>432</v>
      </c>
      <c r="P9" s="1"/>
      <c r="Q9" s="21" t="s">
        <v>435</v>
      </c>
    </row>
    <row r="10" spans="1:20" x14ac:dyDescent="0.2">
      <c r="A10" s="6" t="s">
        <v>436</v>
      </c>
      <c r="B10" s="128" t="s">
        <v>208</v>
      </c>
      <c r="C10" s="132" t="s">
        <v>432</v>
      </c>
      <c r="D10" s="133" t="s">
        <v>432</v>
      </c>
      <c r="E10" s="134" t="s">
        <v>432</v>
      </c>
      <c r="F10" s="1"/>
      <c r="G10" s="21" t="s">
        <v>433</v>
      </c>
      <c r="H10" s="132" t="s">
        <v>432</v>
      </c>
      <c r="I10" s="133" t="s">
        <v>432</v>
      </c>
      <c r="J10" s="134" t="s">
        <v>432</v>
      </c>
      <c r="K10" s="1"/>
      <c r="L10" s="21" t="s">
        <v>434</v>
      </c>
      <c r="M10" s="132" t="s">
        <v>432</v>
      </c>
      <c r="N10" s="133" t="s">
        <v>432</v>
      </c>
      <c r="O10" s="134" t="s">
        <v>432</v>
      </c>
      <c r="P10" s="1"/>
      <c r="Q10" s="21" t="s">
        <v>435</v>
      </c>
    </row>
    <row r="11" spans="1:20" x14ac:dyDescent="0.2">
      <c r="A11" s="10" t="s">
        <v>437</v>
      </c>
      <c r="B11" s="67" t="s">
        <v>214</v>
      </c>
      <c r="C11" s="135">
        <f>DEMAND_FORECAST!H36/DEMAND_FORECAST!C36-1</f>
        <v>7.5544914796526808E-2</v>
      </c>
      <c r="D11" s="136">
        <f>DEMAND_FORECAST!H25/DEMAND_FORECAST!C25-1</f>
        <v>0.14648816931572384</v>
      </c>
      <c r="E11" s="137">
        <f>DEMAND_FORECAST!H14/DEMAND_FORECAST!C14-1</f>
        <v>0.21885857857805258</v>
      </c>
      <c r="F11" s="138">
        <f>E11-C11</f>
        <v>0.14331366378152577</v>
      </c>
      <c r="G11" s="21"/>
      <c r="H11" s="135">
        <f>DEMAND_FORECAST!M36/DEMAND_FORECAST!C36-1</f>
        <v>0.1625507240117392</v>
      </c>
      <c r="I11" s="136">
        <f>DEMAND_FORECAST!M25/DEMAND_FORECAST!C25-1</f>
        <v>0.32886222089868555</v>
      </c>
      <c r="J11" s="137">
        <f>DEMAND_FORECAST!M14/DEMAND_FORECAST!C14-1</f>
        <v>0.5128879474251955</v>
      </c>
      <c r="K11" s="138">
        <f>J11-H11</f>
        <v>0.3503372234134563</v>
      </c>
      <c r="L11" s="21"/>
      <c r="M11" s="135">
        <f>DEMAND_FORECAST!R36/DEMAND_FORECAST!C36-1</f>
        <v>0.26311408869607988</v>
      </c>
      <c r="N11" s="136">
        <f>DEMAND_FORECAST!R25/DEMAND_FORECAST!C25-1</f>
        <v>0.55789669550087884</v>
      </c>
      <c r="O11" s="137">
        <f>DEMAND_FORECAST!R14/DEMAND_FORECAST!C14-1</f>
        <v>0.9139726545015936</v>
      </c>
      <c r="P11" s="138">
        <f>O11-M11</f>
        <v>0.65085856580551371</v>
      </c>
      <c r="Q11" s="21"/>
    </row>
    <row r="12" spans="1:20" x14ac:dyDescent="0.2">
      <c r="A12" s="6" t="s">
        <v>438</v>
      </c>
      <c r="B12" s="128" t="s">
        <v>439</v>
      </c>
      <c r="C12" s="135">
        <f>(DEMAND_FORECAST!H36/DEMAND_FORECAST!C36)^(1/5)-1</f>
        <v>1.4672079720574605E-2</v>
      </c>
      <c r="D12" s="136">
        <f>(DEMAND_FORECAST!H25/DEMAND_FORECAST!C25)^(1/5)-1</f>
        <v>2.7717887492258342E-2</v>
      </c>
      <c r="E12" s="137">
        <f>(DEMAND_FORECAST!H14/DEMAND_FORECAST!C14)^(1/5)-1</f>
        <v>4.0376811098100429E-2</v>
      </c>
      <c r="F12" s="138">
        <f>E12-C12</f>
        <v>2.5704731377525825E-2</v>
      </c>
      <c r="G12" s="21"/>
      <c r="H12" s="135">
        <f>(DEMAND_FORECAST!M36/DEMAND_FORECAST!C36)^(1/10)-1</f>
        <v>1.5175647360340383E-2</v>
      </c>
      <c r="I12" s="136">
        <f>(DEMAND_FORECAST!M25/DEMAND_FORECAST!C25)^(1/10)-1</f>
        <v>2.8840366591905697E-2</v>
      </c>
      <c r="J12" s="137">
        <f>(DEMAND_FORECAST!M14/DEMAND_FORECAST!C14)^(1/10)-1</f>
        <v>4.2271053080176646E-2</v>
      </c>
      <c r="K12" s="138">
        <f>J12-H12</f>
        <v>2.7095405719836263E-2</v>
      </c>
      <c r="L12" s="21"/>
      <c r="M12" s="135">
        <f>(DEMAND_FORECAST!R36/DEMAND_FORECAST!C36)^(1/15)-1</f>
        <v>1.5693886949947E-2</v>
      </c>
      <c r="N12" s="136">
        <f>(DEMAND_FORECAST!R25/DEMAND_FORECAST!C25)^(1/15)-1</f>
        <v>2.9996882935410474E-2</v>
      </c>
      <c r="O12" s="137">
        <f>(DEMAND_FORECAST!R14/DEMAND_FORECAST!C14)^(1/15)-1</f>
        <v>4.4228916102724725E-2</v>
      </c>
      <c r="P12" s="138">
        <f>O12-M12</f>
        <v>2.8535029152777724E-2</v>
      </c>
      <c r="Q12" s="21"/>
    </row>
    <row r="13" spans="1:20" x14ac:dyDescent="0.2">
      <c r="A13" s="218" t="s">
        <v>440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</row>
    <row r="14" spans="1:20" x14ac:dyDescent="0.2">
      <c r="A14" s="6" t="s">
        <v>441</v>
      </c>
      <c r="B14" s="128" t="s">
        <v>208</v>
      </c>
      <c r="C14" s="129">
        <f>MARKET_GAP!H22</f>
        <v>26922.829492566969</v>
      </c>
      <c r="D14" s="130">
        <f>MARKET_GAP!H14</f>
        <v>27871.678448063434</v>
      </c>
      <c r="E14" s="75">
        <f>MARKET_GAP!H6</f>
        <v>28706.100883200001</v>
      </c>
      <c r="F14" s="131">
        <f>E14-C14</f>
        <v>1783.2713906330318</v>
      </c>
      <c r="G14" s="21"/>
      <c r="H14" s="129">
        <f>MARKET_GAP!M22</f>
        <v>27878.41338022437</v>
      </c>
      <c r="I14" s="130">
        <f>MARKET_GAP!M14</f>
        <v>29878.09459662476</v>
      </c>
      <c r="J14" s="75">
        <f>MARKET_GAP!M6</f>
        <v>31693.854919863687</v>
      </c>
      <c r="K14" s="131">
        <f>J14-H14</f>
        <v>3815.441539639316</v>
      </c>
      <c r="L14" s="21"/>
      <c r="M14" s="129">
        <f>MARKET_GAP!R22</f>
        <v>28867.914229195314</v>
      </c>
      <c r="N14" s="130">
        <f>MARKET_GAP!R14</f>
        <v>32028.947893767181</v>
      </c>
      <c r="O14" s="75">
        <f>MARKET_GAP!R6</f>
        <v>34992.576796427362</v>
      </c>
      <c r="P14" s="131">
        <f>O14-M14</f>
        <v>6124.6625672320479</v>
      </c>
      <c r="Q14" s="21"/>
    </row>
    <row r="15" spans="1:20" x14ac:dyDescent="0.2">
      <c r="A15" s="102" t="s">
        <v>442</v>
      </c>
      <c r="B15" s="139" t="s">
        <v>208</v>
      </c>
      <c r="C15" s="129">
        <f>MARKET_GAP!H23</f>
        <v>1041.3382921427255</v>
      </c>
      <c r="D15" s="130">
        <f>MARKET_GAP!H15</f>
        <v>1937.0139541453864</v>
      </c>
      <c r="E15" s="75">
        <f>MARKET_GAP!H7</f>
        <v>2984.222159829369</v>
      </c>
      <c r="F15" s="131">
        <f>E15-C15</f>
        <v>1942.8838676866435</v>
      </c>
      <c r="G15" s="21"/>
      <c r="H15" s="129">
        <f>MARKET_GAP!M23</f>
        <v>2347.9054440808468</v>
      </c>
      <c r="I15" s="130">
        <f>MARKET_GAP!M15</f>
        <v>4672.323146741066</v>
      </c>
      <c r="J15" s="75">
        <f>MARKET_GAP!M7</f>
        <v>7641.2317131913987</v>
      </c>
      <c r="K15" s="131">
        <f>J15-H15</f>
        <v>5293.3262691105519</v>
      </c>
      <c r="L15" s="21"/>
      <c r="M15" s="129">
        <f>MARKET_GAP!R23</f>
        <v>3973.0520769027607</v>
      </c>
      <c r="N15" s="130">
        <f>MARKET_GAP!R15</f>
        <v>8476.3661892556702</v>
      </c>
      <c r="O15" s="75">
        <f>MARKET_GAP!R7</f>
        <v>14770.71222061407</v>
      </c>
      <c r="P15" s="131">
        <f>O15-M15</f>
        <v>10797.66014371131</v>
      </c>
      <c r="Q15" s="21"/>
    </row>
    <row r="16" spans="1:20" x14ac:dyDescent="0.2">
      <c r="A16" s="6" t="s">
        <v>443</v>
      </c>
      <c r="B16" s="128" t="s">
        <v>214</v>
      </c>
      <c r="C16" s="135">
        <f>IF(MARKET_GAP!H21&gt;0,MARKET_GAP!H23/MARKET_GAP!H21,0)</f>
        <v>3.7238307971822093E-2</v>
      </c>
      <c r="D16" s="136">
        <f>IF(MARKET_GAP!H13&gt;0,MARKET_GAP!H15/MARKET_GAP!H13,0)</f>
        <v>6.4981513714498049E-2</v>
      </c>
      <c r="E16" s="137">
        <f>IF(MARKET_GAP!H5&gt;0, MARKET_GAP!H7/ MARKET_GAP!H5, 0)</f>
        <v>9.4168246747670215E-2</v>
      </c>
      <c r="F16" s="138">
        <f>E16-C16</f>
        <v>5.6929938775848121E-2</v>
      </c>
      <c r="G16" s="21"/>
      <c r="H16" s="135">
        <f>IF(MARKET_GAP!M21&gt;0,MARKET_GAP!M23/MARKET_GAP!M21,0)</f>
        <v>7.7677518646196431E-2</v>
      </c>
      <c r="I16" s="136">
        <f>IF(MARKET_GAP!M13&gt;0,MARKET_GAP!M15/MARKET_GAP!M13,0)</f>
        <v>0.13523203051975308</v>
      </c>
      <c r="J16" s="137">
        <f>IF(MARKET_GAP!M5&gt;0, MARKET_GAP!M7/ MARKET_GAP!M5, 0)</f>
        <v>0.19425994365981947</v>
      </c>
      <c r="K16" s="138">
        <f>J16-H16</f>
        <v>0.11658242501362304</v>
      </c>
      <c r="L16" s="21"/>
      <c r="M16" s="135">
        <f>IF(MARKET_GAP!R21&gt;0,MARKET_GAP!R23/MARKET_GAP!R21,0)</f>
        <v>0.12097853759452336</v>
      </c>
      <c r="N16" s="136">
        <f>IF(MARKET_GAP!R13&gt;0,MARKET_GAP!R15/MARKET_GAP!R13,0)</f>
        <v>0.20926553419341098</v>
      </c>
      <c r="O16" s="137">
        <f>IF(MARKET_GAP!R5&gt;0, MARKET_GAP!R7/ MARKET_GAP!R5, 0)</f>
        <v>0.29681945290143186</v>
      </c>
      <c r="P16" s="138">
        <f>O16-M16</f>
        <v>0.17584091530690849</v>
      </c>
      <c r="Q16" s="21"/>
    </row>
    <row r="18" spans="1:20" ht="16" customHeight="1" x14ac:dyDescent="0.2">
      <c r="A18" s="194" t="s">
        <v>444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</row>
    <row r="19" spans="1:20" x14ac:dyDescent="0.2">
      <c r="A19" s="221" t="s">
        <v>445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</row>
    <row r="20" spans="1:20" x14ac:dyDescent="0.2">
      <c r="A20" s="102" t="s">
        <v>446</v>
      </c>
      <c r="B20" s="139" t="s">
        <v>208</v>
      </c>
      <c r="C20" s="140" t="s">
        <v>447</v>
      </c>
      <c r="D20" s="129">
        <f>ARGENTINA_SUPPLY!H14</f>
        <v>67</v>
      </c>
      <c r="E20" s="140" t="s">
        <v>447</v>
      </c>
      <c r="F20" s="1"/>
      <c r="G20" s="10"/>
      <c r="H20" s="140" t="s">
        <v>447</v>
      </c>
      <c r="I20" s="129">
        <f>ARGENTINA_SUPPLY!M14</f>
        <v>0</v>
      </c>
      <c r="J20" s="140" t="s">
        <v>447</v>
      </c>
      <c r="K20" s="1"/>
      <c r="L20" s="10"/>
      <c r="M20" s="140" t="s">
        <v>447</v>
      </c>
      <c r="N20" s="129">
        <f>ARGENTINA_SUPPLY!R14</f>
        <v>0</v>
      </c>
      <c r="O20" s="140" t="s">
        <v>447</v>
      </c>
      <c r="P20" s="1"/>
      <c r="Q20" s="10"/>
    </row>
    <row r="21" spans="1:20" x14ac:dyDescent="0.2">
      <c r="A21" s="2" t="s">
        <v>448</v>
      </c>
      <c r="B21" s="128" t="s">
        <v>208</v>
      </c>
      <c r="C21" s="141" t="s">
        <v>447</v>
      </c>
      <c r="D21" s="130">
        <f>ARGENTINA_SUPPLY!H25</f>
        <v>217</v>
      </c>
      <c r="E21" s="141" t="s">
        <v>447</v>
      </c>
      <c r="F21" s="1"/>
      <c r="G21" s="10"/>
      <c r="H21" s="141" t="s">
        <v>447</v>
      </c>
      <c r="I21" s="130">
        <f>ARGENTINA_SUPPLY!M25</f>
        <v>350</v>
      </c>
      <c r="J21" s="141" t="s">
        <v>447</v>
      </c>
      <c r="K21" s="1"/>
      <c r="L21" s="10"/>
      <c r="M21" s="141" t="s">
        <v>447</v>
      </c>
      <c r="N21" s="130">
        <f>ARGENTINA_SUPPLY!R25</f>
        <v>350</v>
      </c>
      <c r="O21" s="141" t="s">
        <v>447</v>
      </c>
      <c r="P21" s="1"/>
      <c r="Q21" s="10"/>
    </row>
    <row r="22" spans="1:20" x14ac:dyDescent="0.2">
      <c r="A22" s="26" t="s">
        <v>449</v>
      </c>
      <c r="B22" s="66" t="s">
        <v>208</v>
      </c>
      <c r="C22" s="142" t="s">
        <v>447</v>
      </c>
      <c r="D22" s="75">
        <f>ARGENTINA_SUPPLY!H36</f>
        <v>217</v>
      </c>
      <c r="E22" s="142" t="s">
        <v>447</v>
      </c>
      <c r="F22" s="1"/>
      <c r="G22" s="10"/>
      <c r="H22" s="142" t="s">
        <v>447</v>
      </c>
      <c r="I22" s="75">
        <f>ARGENTINA_SUPPLY!M36</f>
        <v>1022</v>
      </c>
      <c r="J22" s="142" t="s">
        <v>447</v>
      </c>
      <c r="K22" s="1"/>
      <c r="L22" s="10"/>
      <c r="M22" s="142" t="s">
        <v>447</v>
      </c>
      <c r="N22" s="75">
        <f>ARGENTINA_SUPPLY!R36</f>
        <v>1090</v>
      </c>
      <c r="O22" s="142" t="s">
        <v>447</v>
      </c>
      <c r="P22" s="1"/>
      <c r="Q22" s="10"/>
    </row>
    <row r="23" spans="1:20" x14ac:dyDescent="0.2">
      <c r="A23" s="143" t="s">
        <v>450</v>
      </c>
      <c r="B23" s="144" t="s">
        <v>208</v>
      </c>
      <c r="C23" s="80"/>
      <c r="D23" s="145">
        <v>5838</v>
      </c>
      <c r="E23" s="80"/>
      <c r="F23" s="1"/>
      <c r="G23" s="10"/>
      <c r="H23" s="80"/>
      <c r="I23" s="145">
        <v>6197</v>
      </c>
      <c r="J23" s="80"/>
      <c r="K23" s="1"/>
      <c r="L23" s="10"/>
      <c r="M23" s="80"/>
      <c r="N23" s="145">
        <v>6578</v>
      </c>
      <c r="O23" s="80"/>
      <c r="P23" s="1"/>
      <c r="Q23" s="10"/>
    </row>
    <row r="24" spans="1:20" x14ac:dyDescent="0.2">
      <c r="A24" s="143" t="s">
        <v>451</v>
      </c>
      <c r="B24" s="144" t="s">
        <v>208</v>
      </c>
      <c r="C24" s="80"/>
      <c r="D24" s="145">
        <v>2810</v>
      </c>
      <c r="E24" s="80"/>
      <c r="F24" s="1"/>
      <c r="G24" s="10"/>
      <c r="H24" s="80"/>
      <c r="I24" s="145">
        <v>2924</v>
      </c>
      <c r="J24" s="80"/>
      <c r="K24" s="1"/>
      <c r="L24" s="10"/>
      <c r="M24" s="80"/>
      <c r="N24" s="145">
        <v>3043</v>
      </c>
      <c r="O24" s="80"/>
      <c r="P24" s="1"/>
      <c r="Q24" s="10"/>
    </row>
    <row r="25" spans="1:20" x14ac:dyDescent="0.2">
      <c r="A25" s="143" t="s">
        <v>452</v>
      </c>
      <c r="B25" s="144" t="s">
        <v>208</v>
      </c>
      <c r="C25" s="80"/>
      <c r="D25" s="145">
        <v>3507</v>
      </c>
      <c r="E25" s="80"/>
      <c r="F25" s="1"/>
      <c r="G25" s="10"/>
      <c r="H25" s="80"/>
      <c r="I25" s="145">
        <v>3968</v>
      </c>
      <c r="J25" s="80"/>
      <c r="K25" s="1"/>
      <c r="L25" s="10"/>
      <c r="M25" s="80"/>
      <c r="N25" s="145">
        <v>4490</v>
      </c>
      <c r="O25" s="80"/>
      <c r="P25" s="1"/>
      <c r="Q25" s="10"/>
    </row>
    <row r="26" spans="1:20" x14ac:dyDescent="0.2">
      <c r="A26" s="221" t="s">
        <v>453</v>
      </c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</row>
    <row r="27" spans="1:20" x14ac:dyDescent="0.2">
      <c r="A27" s="102" t="s">
        <v>454</v>
      </c>
      <c r="B27" s="139" t="s">
        <v>214</v>
      </c>
      <c r="C27" s="11"/>
      <c r="D27" s="135">
        <f>IF(DEMAND_FORECAST!H36&gt;0,ARGENTINA_SUPPLY!H14/DEMAND_FORECAST!H36,0)</f>
        <v>2.3959232585006301E-3</v>
      </c>
      <c r="E27" s="11"/>
      <c r="F27" s="1"/>
      <c r="H27" s="11"/>
      <c r="I27" s="135">
        <f>IF(DEMAND_FORECAST!M36&gt;0,ARGENTINA_SUPPLY!M14/DEMAND_FORECAST!M36,0)</f>
        <v>0</v>
      </c>
      <c r="J27" s="11"/>
      <c r="K27" s="1"/>
      <c r="M27" s="11"/>
      <c r="N27" s="135">
        <f>IF(DEMAND_FORECAST!R36&gt;0,ARGENTINA_SUPPLY!R14/DEMAND_FORECAST!R36,0)</f>
        <v>0</v>
      </c>
      <c r="O27" s="11"/>
      <c r="P27" s="1"/>
    </row>
    <row r="28" spans="1:20" x14ac:dyDescent="0.2">
      <c r="A28" s="2" t="s">
        <v>455</v>
      </c>
      <c r="B28" s="128" t="s">
        <v>214</v>
      </c>
      <c r="C28" s="6"/>
      <c r="D28" s="136">
        <f>IF(DEMAND_FORECAST!H25&gt;0,ARGENTINA_SUPPLY!H25/DEMAND_FORECAST!H25,0)</f>
        <v>7.2797557528528267E-3</v>
      </c>
      <c r="E28" s="6"/>
      <c r="F28" s="1"/>
      <c r="H28" s="6"/>
      <c r="I28" s="136">
        <f>IF(DEMAND_FORECAST!M25&gt;0,ARGENTINA_SUPPLY!M25/DEMAND_FORECAST!M25,0)</f>
        <v>1.0130123537137405E-2</v>
      </c>
      <c r="J28" s="6"/>
      <c r="K28" s="1"/>
      <c r="M28" s="6"/>
      <c r="N28" s="136">
        <f>IF(DEMAND_FORECAST!R25&gt;0,ARGENTINA_SUPPLY!R25/DEMAND_FORECAST!R25,0)</f>
        <v>8.6408415271786981E-3</v>
      </c>
      <c r="O28" s="6"/>
      <c r="P28" s="1"/>
    </row>
    <row r="29" spans="1:20" x14ac:dyDescent="0.2">
      <c r="A29" s="26" t="s">
        <v>456</v>
      </c>
      <c r="B29" s="66" t="s">
        <v>214</v>
      </c>
      <c r="C29" s="30"/>
      <c r="D29" s="137">
        <f>IF(DEMAND_FORECAST!H14&gt;0,ARGENTINA_SUPPLY!H36/DEMAND_FORECAST!H14,0)</f>
        <v>6.8475161867348495E-3</v>
      </c>
      <c r="E29" s="30"/>
      <c r="F29" s="1"/>
      <c r="H29" s="30"/>
      <c r="I29" s="137">
        <f>IF(DEMAND_FORECAST!M14&gt;0,ARGENTINA_SUPPLY!M36/DEMAND_FORECAST!M14,0)</f>
        <v>2.5981892693765326E-2</v>
      </c>
      <c r="J29" s="30"/>
      <c r="K29" s="1"/>
      <c r="M29" s="30"/>
      <c r="N29" s="137">
        <f>IF(DEMAND_FORECAST!R14&gt;0,ARGENTINA_SUPPLY!R36/DEMAND_FORECAST!R14,0)</f>
        <v>2.1903696912531839E-2</v>
      </c>
      <c r="O29" s="30"/>
      <c r="P29" s="1"/>
    </row>
    <row r="30" spans="1:20" x14ac:dyDescent="0.2">
      <c r="A30" s="143" t="s">
        <v>457</v>
      </c>
      <c r="B30" s="144" t="s">
        <v>214</v>
      </c>
      <c r="C30" s="80"/>
      <c r="D30" s="146">
        <v>0.21</v>
      </c>
      <c r="E30" s="80"/>
      <c r="F30" s="1"/>
      <c r="H30" s="80"/>
      <c r="I30" s="146">
        <v>0.21</v>
      </c>
      <c r="J30" s="80"/>
      <c r="K30" s="1"/>
      <c r="M30" s="80"/>
      <c r="N30" s="146">
        <v>0.21</v>
      </c>
      <c r="O30" s="80"/>
      <c r="P30" s="1"/>
    </row>
    <row r="31" spans="1:20" x14ac:dyDescent="0.2">
      <c r="A31" s="143" t="s">
        <v>458</v>
      </c>
      <c r="B31" s="144" t="s">
        <v>214</v>
      </c>
      <c r="C31" s="80"/>
      <c r="D31" s="146">
        <v>0.1</v>
      </c>
      <c r="E31" s="80"/>
      <c r="F31" s="1"/>
      <c r="H31" s="80"/>
      <c r="I31" s="146">
        <v>0.1</v>
      </c>
      <c r="J31" s="80"/>
      <c r="K31" s="1"/>
      <c r="M31" s="80"/>
      <c r="N31" s="146">
        <v>0.1</v>
      </c>
      <c r="O31" s="80"/>
      <c r="P31" s="1"/>
    </row>
    <row r="33" spans="1:20" ht="16" customHeight="1" x14ac:dyDescent="0.2">
      <c r="A33" s="224" t="s">
        <v>459</v>
      </c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</row>
    <row r="34" spans="1:20" ht="28" customHeight="1" x14ac:dyDescent="0.2">
      <c r="A34" s="213" t="s">
        <v>460</v>
      </c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</row>
    <row r="35" spans="1:20" x14ac:dyDescent="0.2">
      <c r="A35" s="218" t="s">
        <v>461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</row>
    <row r="36" spans="1:20" x14ac:dyDescent="0.2">
      <c r="A36" s="6" t="s">
        <v>462</v>
      </c>
      <c r="B36" s="128" t="s">
        <v>214</v>
      </c>
      <c r="C36" s="147"/>
      <c r="D36" s="148">
        <v>1</v>
      </c>
      <c r="E36" s="147"/>
      <c r="F36" s="147"/>
      <c r="G36" s="10"/>
      <c r="H36" s="147"/>
      <c r="I36" s="148">
        <v>1</v>
      </c>
      <c r="J36" s="147"/>
      <c r="K36" s="147"/>
      <c r="L36" s="10"/>
      <c r="M36" s="147"/>
      <c r="N36" s="148">
        <v>1</v>
      </c>
      <c r="O36" s="147"/>
      <c r="P36" s="147"/>
      <c r="Q36" s="10"/>
    </row>
    <row r="37" spans="1:20" x14ac:dyDescent="0.2">
      <c r="A37" s="10" t="s">
        <v>463</v>
      </c>
      <c r="B37" s="67" t="s">
        <v>214</v>
      </c>
      <c r="C37" s="149"/>
      <c r="D37" s="150">
        <v>0</v>
      </c>
      <c r="E37" s="149"/>
      <c r="F37" s="149"/>
      <c r="G37" s="10"/>
      <c r="H37" s="149"/>
      <c r="I37" s="150">
        <v>0</v>
      </c>
      <c r="J37" s="149"/>
      <c r="K37" s="149"/>
      <c r="L37" s="10"/>
      <c r="M37" s="149"/>
      <c r="N37" s="150">
        <v>0</v>
      </c>
      <c r="O37" s="149"/>
      <c r="P37" s="149"/>
      <c r="Q37" s="10"/>
    </row>
    <row r="38" spans="1:20" x14ac:dyDescent="0.2">
      <c r="A38" s="6" t="s">
        <v>464</v>
      </c>
      <c r="B38" s="128" t="s">
        <v>214</v>
      </c>
      <c r="C38" s="147"/>
      <c r="D38" s="148">
        <v>0</v>
      </c>
      <c r="E38" s="147"/>
      <c r="F38" s="147"/>
      <c r="G38" s="10"/>
      <c r="H38" s="147"/>
      <c r="I38" s="148">
        <v>0</v>
      </c>
      <c r="J38" s="147"/>
      <c r="K38" s="147"/>
      <c r="L38" s="10"/>
      <c r="M38" s="147"/>
      <c r="N38" s="148">
        <v>0</v>
      </c>
      <c r="O38" s="147"/>
      <c r="P38" s="147"/>
      <c r="Q38" s="10"/>
    </row>
    <row r="39" spans="1:20" x14ac:dyDescent="0.2">
      <c r="A39" s="68" t="s">
        <v>465</v>
      </c>
      <c r="B39" s="67" t="s">
        <v>214</v>
      </c>
      <c r="C39" s="149"/>
      <c r="D39" s="150">
        <v>0.72</v>
      </c>
      <c r="E39" s="149"/>
      <c r="F39" s="149"/>
      <c r="G39" s="10"/>
      <c r="H39" s="149"/>
      <c r="I39" s="150">
        <v>0.72</v>
      </c>
      <c r="J39" s="149"/>
      <c r="K39" s="149"/>
      <c r="L39" s="10"/>
      <c r="M39" s="149"/>
      <c r="N39" s="150">
        <v>0.72</v>
      </c>
      <c r="O39" s="149"/>
      <c r="P39" s="149"/>
      <c r="Q39" s="10"/>
    </row>
    <row r="40" spans="1:20" x14ac:dyDescent="0.2">
      <c r="A40" s="2" t="s">
        <v>466</v>
      </c>
      <c r="B40" s="128" t="s">
        <v>467</v>
      </c>
      <c r="C40" s="147"/>
      <c r="D40" s="130">
        <f>ARGENTINA_SUPPLY!H25*9800*0.72/1000</f>
        <v>1531.152</v>
      </c>
      <c r="E40" s="147"/>
      <c r="F40" s="147"/>
      <c r="G40" s="10"/>
      <c r="H40" s="147"/>
      <c r="I40" s="130">
        <f>ARGENTINA_SUPPLY!M25*10200*0.72/1000</f>
        <v>2570.4</v>
      </c>
      <c r="J40" s="147"/>
      <c r="K40" s="147"/>
      <c r="L40" s="10"/>
      <c r="M40" s="147"/>
      <c r="N40" s="130">
        <f>ARGENTINA_SUPPLY!R25*10500*0.72/1000</f>
        <v>2646</v>
      </c>
      <c r="O40" s="147"/>
      <c r="P40" s="147"/>
      <c r="Q40" s="10"/>
    </row>
    <row r="41" spans="1:20" x14ac:dyDescent="0.2">
      <c r="A41" s="10" t="s">
        <v>468</v>
      </c>
      <c r="B41" s="67" t="s">
        <v>467</v>
      </c>
      <c r="C41" s="149"/>
      <c r="D41" s="105">
        <f>ARGENTINA_SUPPLY!H25*9800*0.72*1/1000</f>
        <v>1531.152</v>
      </c>
      <c r="E41" s="149"/>
      <c r="F41" s="149"/>
      <c r="G41" s="10"/>
      <c r="H41" s="149"/>
      <c r="I41" s="105">
        <f>ARGENTINA_SUPPLY!M25*10200*0.72*1/1000</f>
        <v>2570.4</v>
      </c>
      <c r="J41" s="149"/>
      <c r="K41" s="149"/>
      <c r="L41" s="10"/>
      <c r="M41" s="149"/>
      <c r="N41" s="105">
        <f>ARGENTINA_SUPPLY!R25*10500*0.72*1/1000</f>
        <v>2646</v>
      </c>
      <c r="O41" s="149"/>
      <c r="P41" s="149"/>
      <c r="Q41" s="10"/>
    </row>
    <row r="42" spans="1:20" x14ac:dyDescent="0.2">
      <c r="A42" s="6" t="s">
        <v>469</v>
      </c>
      <c r="B42" s="128" t="s">
        <v>467</v>
      </c>
      <c r="C42" s="147"/>
      <c r="D42" s="130">
        <f>ARGENTINA_SUPPLY!H25*9800*0.83*0/1000</f>
        <v>0</v>
      </c>
      <c r="E42" s="147"/>
      <c r="F42" s="147"/>
      <c r="G42" s="10"/>
      <c r="H42" s="147"/>
      <c r="I42" s="130">
        <f>ARGENTINA_SUPPLY!M25*10200*0.83*0/1000</f>
        <v>0</v>
      </c>
      <c r="J42" s="147"/>
      <c r="K42" s="147"/>
      <c r="L42" s="10"/>
      <c r="M42" s="147"/>
      <c r="N42" s="130">
        <f>ARGENTINA_SUPPLY!R25*10500*0.83*0/1000</f>
        <v>0</v>
      </c>
      <c r="O42" s="147"/>
      <c r="P42" s="147"/>
      <c r="Q42" s="10"/>
    </row>
    <row r="43" spans="1:20" x14ac:dyDescent="0.2">
      <c r="A43" s="10" t="s">
        <v>470</v>
      </c>
      <c r="B43" s="67" t="s">
        <v>467</v>
      </c>
      <c r="C43" s="149"/>
      <c r="D43" s="105">
        <f>ARGENTINA_SUPPLY!H25*9800*0.98*0/1000</f>
        <v>0</v>
      </c>
      <c r="E43" s="149"/>
      <c r="F43" s="149"/>
      <c r="G43" s="10"/>
      <c r="H43" s="149"/>
      <c r="I43" s="105">
        <f>ARGENTINA_SUPPLY!M25*10200*0.98*0/1000</f>
        <v>0</v>
      </c>
      <c r="J43" s="149"/>
      <c r="K43" s="149"/>
      <c r="L43" s="10"/>
      <c r="M43" s="149"/>
      <c r="N43" s="105">
        <f>ARGENTINA_SUPPLY!R25*10500*0.98*0/1000</f>
        <v>0</v>
      </c>
      <c r="O43" s="149"/>
      <c r="P43" s="149"/>
      <c r="Q43" s="10"/>
    </row>
    <row r="44" spans="1:20" x14ac:dyDescent="0.2">
      <c r="A44" s="2" t="s">
        <v>471</v>
      </c>
      <c r="B44" s="128" t="s">
        <v>467</v>
      </c>
      <c r="C44" s="147"/>
      <c r="D44" s="151">
        <f>ARGENTINA_SUPPLY!H25*9800*0/1000</f>
        <v>0</v>
      </c>
      <c r="E44" s="147"/>
      <c r="F44" s="147"/>
      <c r="G44" s="10"/>
      <c r="H44" s="147"/>
      <c r="I44" s="151">
        <f>ARGENTINA_SUPPLY!M25*10200*0/1000</f>
        <v>0</v>
      </c>
      <c r="J44" s="147"/>
      <c r="K44" s="147"/>
      <c r="L44" s="10"/>
      <c r="M44" s="147"/>
      <c r="N44" s="151">
        <f>ARGENTINA_SUPPLY!R25*10500*0/1000</f>
        <v>0</v>
      </c>
      <c r="O44" s="147"/>
      <c r="P44" s="147"/>
      <c r="Q44" s="10"/>
    </row>
    <row r="46" spans="1:20" x14ac:dyDescent="0.2">
      <c r="A46" s="218" t="s">
        <v>472</v>
      </c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</row>
    <row r="47" spans="1:20" x14ac:dyDescent="0.2">
      <c r="A47" s="10" t="s">
        <v>462</v>
      </c>
      <c r="B47" s="67" t="s">
        <v>214</v>
      </c>
      <c r="C47" s="149"/>
      <c r="D47" s="150">
        <v>1</v>
      </c>
      <c r="E47" s="149"/>
      <c r="F47" s="149"/>
      <c r="G47" s="10"/>
      <c r="H47" s="149"/>
      <c r="I47" s="150">
        <v>0.8</v>
      </c>
      <c r="J47" s="149"/>
      <c r="K47" s="149"/>
      <c r="L47" s="10"/>
      <c r="M47" s="149"/>
      <c r="N47" s="150">
        <v>0.55000000000000004</v>
      </c>
      <c r="O47" s="149"/>
      <c r="P47" s="149"/>
      <c r="Q47" s="10"/>
    </row>
    <row r="48" spans="1:20" x14ac:dyDescent="0.2">
      <c r="A48" s="6" t="s">
        <v>463</v>
      </c>
      <c r="B48" s="128" t="s">
        <v>214</v>
      </c>
      <c r="C48" s="147"/>
      <c r="D48" s="148">
        <v>0</v>
      </c>
      <c r="E48" s="147"/>
      <c r="F48" s="147"/>
      <c r="G48" s="10"/>
      <c r="H48" s="147"/>
      <c r="I48" s="148">
        <v>0.2</v>
      </c>
      <c r="J48" s="147"/>
      <c r="K48" s="147"/>
      <c r="L48" s="10"/>
      <c r="M48" s="147"/>
      <c r="N48" s="148">
        <v>0.45</v>
      </c>
      <c r="O48" s="147"/>
      <c r="P48" s="147"/>
      <c r="Q48" s="10"/>
    </row>
    <row r="49" spans="1:20" x14ac:dyDescent="0.2">
      <c r="A49" s="10" t="s">
        <v>464</v>
      </c>
      <c r="B49" s="67" t="s">
        <v>214</v>
      </c>
      <c r="C49" s="149"/>
      <c r="D49" s="150">
        <v>0</v>
      </c>
      <c r="E49" s="149"/>
      <c r="F49" s="149"/>
      <c r="G49" s="10"/>
      <c r="H49" s="149"/>
      <c r="I49" s="150">
        <v>0</v>
      </c>
      <c r="J49" s="149"/>
      <c r="K49" s="149"/>
      <c r="L49" s="10"/>
      <c r="M49" s="149"/>
      <c r="N49" s="150">
        <v>0</v>
      </c>
      <c r="O49" s="149"/>
      <c r="P49" s="149"/>
      <c r="Q49" s="10"/>
    </row>
    <row r="50" spans="1:20" x14ac:dyDescent="0.2">
      <c r="A50" s="2" t="s">
        <v>465</v>
      </c>
      <c r="B50" s="128" t="s">
        <v>214</v>
      </c>
      <c r="C50" s="147"/>
      <c r="D50" s="148">
        <v>0.72</v>
      </c>
      <c r="E50" s="147"/>
      <c r="F50" s="147"/>
      <c r="G50" s="10"/>
      <c r="H50" s="147"/>
      <c r="I50" s="148">
        <v>0.74199999999999999</v>
      </c>
      <c r="J50" s="147"/>
      <c r="K50" s="147"/>
      <c r="L50" s="10"/>
      <c r="M50" s="147"/>
      <c r="N50" s="148">
        <v>0.76949999999999996</v>
      </c>
      <c r="O50" s="147"/>
      <c r="P50" s="147"/>
      <c r="Q50" s="10"/>
    </row>
    <row r="51" spans="1:20" x14ac:dyDescent="0.2">
      <c r="A51" s="68" t="s">
        <v>466</v>
      </c>
      <c r="B51" s="67" t="s">
        <v>467</v>
      </c>
      <c r="C51" s="149"/>
      <c r="D51" s="105">
        <f>ARGENTINA_SUPPLY!H25*9800*0.72/1000</f>
        <v>1531.152</v>
      </c>
      <c r="E51" s="149"/>
      <c r="F51" s="149"/>
      <c r="G51" s="10"/>
      <c r="H51" s="149"/>
      <c r="I51" s="105">
        <f>ARGENTINA_SUPPLY!M25*10200*0.742/1000</f>
        <v>2648.94</v>
      </c>
      <c r="J51" s="149"/>
      <c r="K51" s="149"/>
      <c r="L51" s="10"/>
      <c r="M51" s="149"/>
      <c r="N51" s="105">
        <f>ARGENTINA_SUPPLY!R25*10500*0.7695/1000</f>
        <v>2827.9124999999999</v>
      </c>
      <c r="O51" s="149"/>
      <c r="P51" s="149"/>
      <c r="Q51" s="10"/>
    </row>
    <row r="52" spans="1:20" x14ac:dyDescent="0.2">
      <c r="A52" s="6" t="s">
        <v>468</v>
      </c>
      <c r="B52" s="128" t="s">
        <v>467</v>
      </c>
      <c r="C52" s="147"/>
      <c r="D52" s="130">
        <f>ARGENTINA_SUPPLY!H25*9800*0.72*1/1000</f>
        <v>1531.152</v>
      </c>
      <c r="E52" s="147"/>
      <c r="F52" s="147"/>
      <c r="G52" s="10"/>
      <c r="H52" s="147"/>
      <c r="I52" s="130">
        <f>ARGENTINA_SUPPLY!M25*10200*0.72*0.8/1000</f>
        <v>2056.3200000000002</v>
      </c>
      <c r="J52" s="147"/>
      <c r="K52" s="147"/>
      <c r="L52" s="10"/>
      <c r="M52" s="147"/>
      <c r="N52" s="130">
        <f>ARGENTINA_SUPPLY!R25*10500*0.72*0.55/1000</f>
        <v>1455.3000000000002</v>
      </c>
      <c r="O52" s="147"/>
      <c r="P52" s="147"/>
      <c r="Q52" s="10"/>
    </row>
    <row r="53" spans="1:20" x14ac:dyDescent="0.2">
      <c r="A53" s="10" t="s">
        <v>469</v>
      </c>
      <c r="B53" s="67" t="s">
        <v>467</v>
      </c>
      <c r="C53" s="149"/>
      <c r="D53" s="105">
        <f>ARGENTINA_SUPPLY!H25*9800*0.83*0/1000</f>
        <v>0</v>
      </c>
      <c r="E53" s="149"/>
      <c r="F53" s="149"/>
      <c r="G53" s="10"/>
      <c r="H53" s="149"/>
      <c r="I53" s="105">
        <f>ARGENTINA_SUPPLY!M25*10200*0.83*0.2/1000</f>
        <v>592.62</v>
      </c>
      <c r="J53" s="149"/>
      <c r="K53" s="149"/>
      <c r="L53" s="10"/>
      <c r="M53" s="149"/>
      <c r="N53" s="105">
        <f>ARGENTINA_SUPPLY!R25*10500*0.83*0.45/1000</f>
        <v>1372.6125</v>
      </c>
      <c r="O53" s="149"/>
      <c r="P53" s="149"/>
      <c r="Q53" s="10"/>
    </row>
    <row r="54" spans="1:20" x14ac:dyDescent="0.2">
      <c r="A54" s="6" t="s">
        <v>470</v>
      </c>
      <c r="B54" s="128" t="s">
        <v>467</v>
      </c>
      <c r="C54" s="147"/>
      <c r="D54" s="130">
        <f>ARGENTINA_SUPPLY!H25*9800*0.98*0/1000</f>
        <v>0</v>
      </c>
      <c r="E54" s="147"/>
      <c r="F54" s="147"/>
      <c r="G54" s="10"/>
      <c r="H54" s="147"/>
      <c r="I54" s="130">
        <f>ARGENTINA_SUPPLY!M25*10200*0.98*0/1000</f>
        <v>0</v>
      </c>
      <c r="J54" s="147"/>
      <c r="K54" s="147"/>
      <c r="L54" s="10"/>
      <c r="M54" s="147"/>
      <c r="N54" s="130">
        <f>ARGENTINA_SUPPLY!R25*10500*0.98*0/1000</f>
        <v>0</v>
      </c>
      <c r="O54" s="147"/>
      <c r="P54" s="147"/>
      <c r="Q54" s="10"/>
    </row>
    <row r="55" spans="1:20" x14ac:dyDescent="0.2">
      <c r="A55" s="68" t="s">
        <v>471</v>
      </c>
      <c r="B55" s="67" t="s">
        <v>467</v>
      </c>
      <c r="C55" s="149"/>
      <c r="D55" s="151">
        <f>ARGENTINA_SUPPLY!H25*9800*0/1000</f>
        <v>0</v>
      </c>
      <c r="E55" s="149"/>
      <c r="F55" s="149"/>
      <c r="G55" s="10"/>
      <c r="H55" s="149"/>
      <c r="I55" s="151">
        <f>ARGENTINA_SUPPLY!M25*10200*0.022/1000</f>
        <v>78.540000000000006</v>
      </c>
      <c r="J55" s="149"/>
      <c r="K55" s="149"/>
      <c r="L55" s="10"/>
      <c r="M55" s="149"/>
      <c r="N55" s="151">
        <f>ARGENTINA_SUPPLY!R25*10500*0.0495/1000</f>
        <v>181.91249999999999</v>
      </c>
      <c r="O55" s="149"/>
      <c r="P55" s="149"/>
      <c r="Q55" s="10"/>
    </row>
    <row r="57" spans="1:20" x14ac:dyDescent="0.2">
      <c r="A57" s="222" t="s">
        <v>473</v>
      </c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</row>
    <row r="58" spans="1:20" x14ac:dyDescent="0.2">
      <c r="A58" s="6" t="s">
        <v>462</v>
      </c>
      <c r="B58" s="128" t="s">
        <v>214</v>
      </c>
      <c r="C58" s="147"/>
      <c r="D58" s="148">
        <v>1</v>
      </c>
      <c r="E58" s="147"/>
      <c r="F58" s="147"/>
      <c r="G58" s="10"/>
      <c r="H58" s="147"/>
      <c r="I58" s="148">
        <v>0.85</v>
      </c>
      <c r="J58" s="147"/>
      <c r="K58" s="147"/>
      <c r="L58" s="10"/>
      <c r="M58" s="147"/>
      <c r="N58" s="148">
        <v>0.3</v>
      </c>
      <c r="O58" s="147"/>
      <c r="P58" s="147"/>
      <c r="Q58" s="10"/>
    </row>
    <row r="59" spans="1:20" x14ac:dyDescent="0.2">
      <c r="A59" s="10" t="s">
        <v>463</v>
      </c>
      <c r="B59" s="67" t="s">
        <v>214</v>
      </c>
      <c r="C59" s="149"/>
      <c r="D59" s="150">
        <v>0</v>
      </c>
      <c r="E59" s="149"/>
      <c r="F59" s="149"/>
      <c r="G59" s="10"/>
      <c r="H59" s="149"/>
      <c r="I59" s="150">
        <v>0.1</v>
      </c>
      <c r="J59" s="149"/>
      <c r="K59" s="149"/>
      <c r="L59" s="10"/>
      <c r="M59" s="149"/>
      <c r="N59" s="150">
        <v>0.3</v>
      </c>
      <c r="O59" s="149"/>
      <c r="P59" s="149"/>
      <c r="Q59" s="10"/>
    </row>
    <row r="60" spans="1:20" x14ac:dyDescent="0.2">
      <c r="A60" s="6" t="s">
        <v>464</v>
      </c>
      <c r="B60" s="128" t="s">
        <v>214</v>
      </c>
      <c r="C60" s="147"/>
      <c r="D60" s="148">
        <v>0</v>
      </c>
      <c r="E60" s="147"/>
      <c r="F60" s="147"/>
      <c r="G60" s="10"/>
      <c r="H60" s="147"/>
      <c r="I60" s="148">
        <v>0.05</v>
      </c>
      <c r="J60" s="147"/>
      <c r="K60" s="147"/>
      <c r="L60" s="10"/>
      <c r="M60" s="147"/>
      <c r="N60" s="148">
        <v>0.4</v>
      </c>
      <c r="O60" s="147"/>
      <c r="P60" s="147"/>
      <c r="Q60" s="10"/>
    </row>
    <row r="61" spans="1:20" x14ac:dyDescent="0.2">
      <c r="A61" s="68" t="s">
        <v>465</v>
      </c>
      <c r="B61" s="67" t="s">
        <v>214</v>
      </c>
      <c r="C61" s="149"/>
      <c r="D61" s="150">
        <v>0.72</v>
      </c>
      <c r="E61" s="149"/>
      <c r="F61" s="149"/>
      <c r="G61" s="10"/>
      <c r="H61" s="149"/>
      <c r="I61" s="150">
        <v>0.74399999999999999</v>
      </c>
      <c r="J61" s="149"/>
      <c r="K61" s="149"/>
      <c r="L61" s="10"/>
      <c r="M61" s="149"/>
      <c r="N61" s="150">
        <v>0.85699999999999998</v>
      </c>
      <c r="O61" s="149"/>
      <c r="P61" s="149"/>
      <c r="Q61" s="10"/>
    </row>
    <row r="62" spans="1:20" x14ac:dyDescent="0.2">
      <c r="A62" s="2" t="s">
        <v>466</v>
      </c>
      <c r="B62" s="128" t="s">
        <v>467</v>
      </c>
      <c r="C62" s="147"/>
      <c r="D62" s="130">
        <f>ARGENTINA_SUPPLY!H25*9800*0.72/1000</f>
        <v>1531.152</v>
      </c>
      <c r="E62" s="147"/>
      <c r="F62" s="147"/>
      <c r="G62" s="10"/>
      <c r="H62" s="147"/>
      <c r="I62" s="130">
        <f>ARGENTINA_SUPPLY!M25*10200*0.744/1000</f>
        <v>2656.08</v>
      </c>
      <c r="J62" s="147"/>
      <c r="K62" s="147"/>
      <c r="L62" s="10"/>
      <c r="M62" s="147"/>
      <c r="N62" s="130">
        <f>ARGENTINA_SUPPLY!R25*10500*0.857/1000</f>
        <v>3149.4749999999999</v>
      </c>
      <c r="O62" s="147"/>
      <c r="P62" s="147"/>
      <c r="Q62" s="10"/>
    </row>
    <row r="63" spans="1:20" x14ac:dyDescent="0.2">
      <c r="A63" s="10" t="s">
        <v>468</v>
      </c>
      <c r="B63" s="67" t="s">
        <v>467</v>
      </c>
      <c r="C63" s="149"/>
      <c r="D63" s="105">
        <f>ARGENTINA_SUPPLY!H25*9800*0.72*1/1000</f>
        <v>1531.152</v>
      </c>
      <c r="E63" s="149"/>
      <c r="F63" s="149"/>
      <c r="G63" s="10"/>
      <c r="H63" s="149"/>
      <c r="I63" s="105">
        <f>ARGENTINA_SUPPLY!M25*10200*0.72*0.85/1000</f>
        <v>2184.84</v>
      </c>
      <c r="J63" s="149"/>
      <c r="K63" s="149"/>
      <c r="L63" s="10"/>
      <c r="M63" s="149"/>
      <c r="N63" s="105">
        <f>ARGENTINA_SUPPLY!R25*10500*0.72*0.3/1000</f>
        <v>793.8</v>
      </c>
      <c r="O63" s="149"/>
      <c r="P63" s="149"/>
      <c r="Q63" s="10"/>
    </row>
    <row r="64" spans="1:20" x14ac:dyDescent="0.2">
      <c r="A64" s="6" t="s">
        <v>469</v>
      </c>
      <c r="B64" s="128" t="s">
        <v>467</v>
      </c>
      <c r="C64" s="147"/>
      <c r="D64" s="130">
        <f>ARGENTINA_SUPPLY!H25*9800*0.83*0/1000</f>
        <v>0</v>
      </c>
      <c r="E64" s="147"/>
      <c r="F64" s="147"/>
      <c r="G64" s="10"/>
      <c r="H64" s="147"/>
      <c r="I64" s="130">
        <f>ARGENTINA_SUPPLY!M25*10200*0.83*0.1/1000</f>
        <v>296.31</v>
      </c>
      <c r="J64" s="147"/>
      <c r="K64" s="147"/>
      <c r="L64" s="10"/>
      <c r="M64" s="147"/>
      <c r="N64" s="130">
        <f>ARGENTINA_SUPPLY!R25*10500*0.83*0.3/1000</f>
        <v>915.07500000000005</v>
      </c>
      <c r="O64" s="147"/>
      <c r="P64" s="147"/>
      <c r="Q64" s="10"/>
    </row>
    <row r="65" spans="1:20" x14ac:dyDescent="0.2">
      <c r="A65" s="10" t="s">
        <v>470</v>
      </c>
      <c r="B65" s="67" t="s">
        <v>467</v>
      </c>
      <c r="C65" s="149"/>
      <c r="D65" s="105">
        <f>ARGENTINA_SUPPLY!H25*9800*0.98*0/1000</f>
        <v>0</v>
      </c>
      <c r="E65" s="149"/>
      <c r="F65" s="149"/>
      <c r="G65" s="10"/>
      <c r="H65" s="149"/>
      <c r="I65" s="105">
        <f>ARGENTINA_SUPPLY!M25*10200*0.98*0.05/1000</f>
        <v>174.93</v>
      </c>
      <c r="J65" s="149"/>
      <c r="K65" s="149"/>
      <c r="L65" s="10"/>
      <c r="M65" s="149"/>
      <c r="N65" s="105">
        <f>ARGENTINA_SUPPLY!R25*10500*0.98*0.4/1000</f>
        <v>1440.6</v>
      </c>
      <c r="O65" s="149"/>
      <c r="P65" s="149"/>
      <c r="Q65" s="10"/>
    </row>
    <row r="66" spans="1:20" x14ac:dyDescent="0.2">
      <c r="A66" s="2" t="s">
        <v>471</v>
      </c>
      <c r="B66" s="128" t="s">
        <v>467</v>
      </c>
      <c r="C66" s="147"/>
      <c r="D66" s="151">
        <f>ARGENTINA_SUPPLY!H25*9800*0/1000</f>
        <v>0</v>
      </c>
      <c r="E66" s="147"/>
      <c r="F66" s="147"/>
      <c r="G66" s="10"/>
      <c r="H66" s="147"/>
      <c r="I66" s="151">
        <f>ARGENTINA_SUPPLY!M25*10200*0.024/1000</f>
        <v>85.68</v>
      </c>
      <c r="J66" s="147"/>
      <c r="K66" s="147"/>
      <c r="L66" s="10"/>
      <c r="M66" s="147"/>
      <c r="N66" s="151">
        <f>ARGENTINA_SUPPLY!R25*10500*0.137/1000</f>
        <v>503.47500000000008</v>
      </c>
      <c r="O66" s="147"/>
      <c r="P66" s="147"/>
      <c r="Q66" s="10"/>
    </row>
    <row r="68" spans="1:20" ht="16" customHeight="1" x14ac:dyDescent="0.2">
      <c r="A68" s="168" t="s">
        <v>474</v>
      </c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</row>
    <row r="69" spans="1:20" ht="28" customHeight="1" x14ac:dyDescent="0.2">
      <c r="A69" s="153" t="s">
        <v>475</v>
      </c>
      <c r="C69" s="154" t="s">
        <v>476</v>
      </c>
      <c r="D69" s="155" t="s">
        <v>477</v>
      </c>
      <c r="E69" s="156" t="s">
        <v>478</v>
      </c>
      <c r="F69" s="157" t="s">
        <v>479</v>
      </c>
    </row>
    <row r="70" spans="1:20" x14ac:dyDescent="0.2">
      <c r="A70" s="11" t="s">
        <v>480</v>
      </c>
      <c r="C70" s="158">
        <f>ARGENTINA_SUPPLY!H14*9800*0.72/1000</f>
        <v>472.75200000000001</v>
      </c>
      <c r="D70" s="158">
        <f>ARGENTINA_SUPPLY!M14*10200*0.72/1000</f>
        <v>0</v>
      </c>
      <c r="E70" s="158">
        <f>ARGENTINA_SUPPLY!R14*10500*0.72/1000</f>
        <v>0</v>
      </c>
      <c r="F70" s="159">
        <f t="shared" ref="F70:F75" si="0">(C70*5+D70*5+E70*5)/1000</f>
        <v>2.3637600000000001</v>
      </c>
    </row>
    <row r="71" spans="1:20" x14ac:dyDescent="0.2">
      <c r="A71" s="6" t="s">
        <v>481</v>
      </c>
      <c r="C71" s="160">
        <f>ARGENTINA_SUPPLY!H25*9800*0.72/1000</f>
        <v>1531.152</v>
      </c>
      <c r="D71" s="160">
        <f>ARGENTINA_SUPPLY!M25*10200*0.72/1000</f>
        <v>2570.4</v>
      </c>
      <c r="E71" s="160">
        <f>ARGENTINA_SUPPLY!R25*10500*0.72/1000</f>
        <v>2646</v>
      </c>
      <c r="F71" s="159">
        <f t="shared" si="0"/>
        <v>33.737760000000002</v>
      </c>
    </row>
    <row r="72" spans="1:20" x14ac:dyDescent="0.2">
      <c r="A72" s="6" t="s">
        <v>482</v>
      </c>
      <c r="C72" s="160">
        <f>ARGENTINA_SUPPLY!H25*9800*0.72/1000</f>
        <v>1531.152</v>
      </c>
      <c r="D72" s="160">
        <f>ARGENTINA_SUPPLY!M25*10200*0.742/1000</f>
        <v>2648.94</v>
      </c>
      <c r="E72" s="160">
        <f>ARGENTINA_SUPPLY!R25*10500*0.7695/1000</f>
        <v>2827.9124999999999</v>
      </c>
      <c r="F72" s="159">
        <f t="shared" si="0"/>
        <v>35.040022499999999</v>
      </c>
    </row>
    <row r="73" spans="1:20" x14ac:dyDescent="0.2">
      <c r="A73" s="152" t="s">
        <v>483</v>
      </c>
      <c r="C73" s="161">
        <f>ARGENTINA_SUPPLY!H25*9800*0.72/1000</f>
        <v>1531.152</v>
      </c>
      <c r="D73" s="161">
        <f>ARGENTINA_SUPPLY!M25*10200*0.744/1000</f>
        <v>2656.08</v>
      </c>
      <c r="E73" s="161">
        <f>ARGENTINA_SUPPLY!R25*10500*0.857/1000</f>
        <v>3149.4749999999999</v>
      </c>
      <c r="F73" s="162">
        <f t="shared" si="0"/>
        <v>36.683535000000006</v>
      </c>
    </row>
    <row r="74" spans="1:20" x14ac:dyDescent="0.2">
      <c r="A74" s="30" t="s">
        <v>484</v>
      </c>
      <c r="C74" s="163">
        <f>ARGENTINA_SUPPLY!H36*9800*0.72/1000</f>
        <v>1531.152</v>
      </c>
      <c r="D74" s="163">
        <f>ARGENTINA_SUPPLY!M36*10200*0.72/1000</f>
        <v>7505.5680000000002</v>
      </c>
      <c r="E74" s="163">
        <f>ARGENTINA_SUPPLY!R36*10500*0.72/1000</f>
        <v>8240.4</v>
      </c>
      <c r="F74" s="159">
        <f t="shared" si="0"/>
        <v>86.385600000000011</v>
      </c>
    </row>
    <row r="75" spans="1:20" x14ac:dyDescent="0.2">
      <c r="A75" s="152" t="s">
        <v>485</v>
      </c>
      <c r="C75" s="161">
        <f>ARGENTINA_SUPPLY!H36*9800*0.72/1000</f>
        <v>1531.152</v>
      </c>
      <c r="D75" s="161">
        <f>ARGENTINA_SUPPLY!M36*10200*0.744/1000</f>
        <v>7755.7536</v>
      </c>
      <c r="E75" s="161">
        <f>ARGENTINA_SUPPLY!R36*10500*0.857/1000</f>
        <v>9808.3649999999998</v>
      </c>
      <c r="F75" s="162">
        <f t="shared" si="0"/>
        <v>95.476353000000003</v>
      </c>
    </row>
    <row r="77" spans="1:20" ht="16" customHeight="1" x14ac:dyDescent="0.2">
      <c r="A77" s="211" t="s">
        <v>486</v>
      </c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</row>
    <row r="78" spans="1:20" ht="20" customHeight="1" x14ac:dyDescent="0.2">
      <c r="A78" s="164" t="s">
        <v>336</v>
      </c>
      <c r="C78" s="154" t="s">
        <v>163</v>
      </c>
      <c r="D78" s="155" t="s">
        <v>168</v>
      </c>
      <c r="E78" s="156" t="s">
        <v>173</v>
      </c>
      <c r="F78" s="164" t="s">
        <v>138</v>
      </c>
    </row>
    <row r="79" spans="1:20" x14ac:dyDescent="0.2">
      <c r="A79" s="10" t="s">
        <v>487</v>
      </c>
      <c r="C79" s="165" t="s">
        <v>488</v>
      </c>
      <c r="D79" s="165" t="s">
        <v>488</v>
      </c>
      <c r="E79" s="165" t="s">
        <v>488</v>
      </c>
      <c r="F79" s="214" t="s">
        <v>489</v>
      </c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</row>
    <row r="80" spans="1:20" x14ac:dyDescent="0.2">
      <c r="A80" s="80" t="s">
        <v>490</v>
      </c>
      <c r="C80" s="166" t="s">
        <v>491</v>
      </c>
      <c r="D80" s="166" t="s">
        <v>491</v>
      </c>
      <c r="E80" s="166" t="s">
        <v>491</v>
      </c>
      <c r="F80" s="212" t="s">
        <v>492</v>
      </c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</row>
    <row r="81" spans="1:20" x14ac:dyDescent="0.2">
      <c r="A81" s="68" t="s">
        <v>493</v>
      </c>
      <c r="C81" s="165" t="s">
        <v>494</v>
      </c>
      <c r="D81" s="165" t="s">
        <v>495</v>
      </c>
      <c r="E81" s="165" t="s">
        <v>496</v>
      </c>
      <c r="F81" s="214" t="s">
        <v>497</v>
      </c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</row>
    <row r="82" spans="1:20" x14ac:dyDescent="0.2">
      <c r="A82" s="167" t="s">
        <v>498</v>
      </c>
      <c r="C82" s="166" t="s">
        <v>494</v>
      </c>
      <c r="D82" s="166" t="s">
        <v>499</v>
      </c>
      <c r="E82" s="166" t="s">
        <v>500</v>
      </c>
      <c r="F82" s="212" t="s">
        <v>501</v>
      </c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</row>
    <row r="83" spans="1:20" x14ac:dyDescent="0.2">
      <c r="A83" s="10" t="s">
        <v>502</v>
      </c>
      <c r="C83" s="165" t="s">
        <v>503</v>
      </c>
      <c r="D83" s="165" t="s">
        <v>504</v>
      </c>
      <c r="E83" s="165" t="s">
        <v>504</v>
      </c>
      <c r="F83" s="214" t="s">
        <v>505</v>
      </c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</row>
    <row r="84" spans="1:20" x14ac:dyDescent="0.2">
      <c r="A84" s="80" t="s">
        <v>506</v>
      </c>
      <c r="C84" s="166" t="s">
        <v>507</v>
      </c>
      <c r="D84" s="166" t="s">
        <v>508</v>
      </c>
      <c r="E84" s="166" t="s">
        <v>509</v>
      </c>
      <c r="F84" s="212" t="s">
        <v>510</v>
      </c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</row>
    <row r="85" spans="1:20" x14ac:dyDescent="0.2">
      <c r="A85" s="10" t="s">
        <v>511</v>
      </c>
      <c r="C85" s="165" t="s">
        <v>512</v>
      </c>
      <c r="D85" s="165" t="s">
        <v>513</v>
      </c>
      <c r="E85" s="165" t="s">
        <v>514</v>
      </c>
      <c r="F85" s="214" t="s">
        <v>515</v>
      </c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</row>
    <row r="86" spans="1:20" x14ac:dyDescent="0.2">
      <c r="A86" s="80" t="s">
        <v>516</v>
      </c>
      <c r="C86" s="166" t="s">
        <v>517</v>
      </c>
      <c r="D86" s="166" t="s">
        <v>518</v>
      </c>
      <c r="E86" s="166" t="s">
        <v>519</v>
      </c>
      <c r="F86" s="212" t="s">
        <v>520</v>
      </c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</row>
    <row r="87" spans="1:20" x14ac:dyDescent="0.2">
      <c r="A87" s="10" t="s">
        <v>521</v>
      </c>
      <c r="C87" s="165" t="s">
        <v>522</v>
      </c>
      <c r="D87" s="165" t="s">
        <v>522</v>
      </c>
      <c r="E87" s="165" t="s">
        <v>522</v>
      </c>
      <c r="F87" s="214" t="s">
        <v>523</v>
      </c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</row>
    <row r="89" spans="1:20" ht="65" customHeight="1" x14ac:dyDescent="0.2">
      <c r="A89" s="219" t="s">
        <v>524</v>
      </c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</row>
  </sheetData>
  <mergeCells count="29">
    <mergeCell ref="A89:T89"/>
    <mergeCell ref="A18:T18"/>
    <mergeCell ref="A4:A5"/>
    <mergeCell ref="A26:T26"/>
    <mergeCell ref="F82:T82"/>
    <mergeCell ref="A57:T57"/>
    <mergeCell ref="A33:T33"/>
    <mergeCell ref="F87:T87"/>
    <mergeCell ref="A35:T35"/>
    <mergeCell ref="F84:T84"/>
    <mergeCell ref="F83:T83"/>
    <mergeCell ref="A19:T19"/>
    <mergeCell ref="M4:Q4"/>
    <mergeCell ref="H4:L4"/>
    <mergeCell ref="A1:T1"/>
    <mergeCell ref="C4:G4"/>
    <mergeCell ref="A68:T68"/>
    <mergeCell ref="A6:T6"/>
    <mergeCell ref="A13:T13"/>
    <mergeCell ref="A7:T7"/>
    <mergeCell ref="A46:T46"/>
    <mergeCell ref="A2:T2"/>
    <mergeCell ref="F86:T86"/>
    <mergeCell ref="A34:T34"/>
    <mergeCell ref="F80:T80"/>
    <mergeCell ref="A77:T77"/>
    <mergeCell ref="F85:T85"/>
    <mergeCell ref="F79:T79"/>
    <mergeCell ref="F81:T8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A3A5C"/>
  </sheetPr>
  <dimension ref="A1:T24"/>
  <sheetViews>
    <sheetView showGridLines="0" workbookViewId="0"/>
  </sheetViews>
  <sheetFormatPr baseColWidth="10" defaultColWidth="8.83203125" defaultRowHeight="15" x14ac:dyDescent="0.2"/>
  <cols>
    <col min="1" max="20" width="16" customWidth="1"/>
  </cols>
  <sheetData>
    <row r="1" spans="1:20" ht="17" x14ac:dyDescent="0.2">
      <c r="A1" s="191" t="s">
        <v>525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2"/>
    </row>
    <row r="2" spans="1:20" x14ac:dyDescent="0.2">
      <c r="A2" s="188" t="s">
        <v>526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</row>
    <row r="3" spans="1:20" x14ac:dyDescent="0.2">
      <c r="A3" s="168" t="s">
        <v>527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</row>
    <row r="4" spans="1:20" x14ac:dyDescent="0.2">
      <c r="A4" s="238" t="s">
        <v>528</v>
      </c>
      <c r="B4" s="169"/>
      <c r="D4" s="236" t="s">
        <v>529</v>
      </c>
      <c r="E4" s="169"/>
      <c r="G4" s="239" t="s">
        <v>530</v>
      </c>
      <c r="H4" s="169"/>
      <c r="J4" s="234" t="s">
        <v>531</v>
      </c>
      <c r="K4" s="169"/>
      <c r="M4" s="240" t="s">
        <v>532</v>
      </c>
      <c r="N4" s="169"/>
      <c r="P4" s="226" t="s">
        <v>533</v>
      </c>
      <c r="Q4" s="169"/>
    </row>
    <row r="5" spans="1:20" ht="30" customHeight="1" x14ac:dyDescent="0.2">
      <c r="A5" s="229">
        <f>DEMAND_FORECAST!R25</f>
        <v>40505.314083022851</v>
      </c>
      <c r="B5" s="169"/>
      <c r="D5" s="229">
        <f>ARGENTINA_SUPPLY!R36</f>
        <v>1090</v>
      </c>
      <c r="E5" s="169"/>
      <c r="G5" s="230">
        <f>MARKET_GAP!R10</f>
        <v>2.1903696912531839E-2</v>
      </c>
      <c r="H5" s="169"/>
      <c r="J5" s="233">
        <f>AR_OPPORTUNITY!V7</f>
        <v>122245.3</v>
      </c>
      <c r="K5" s="169"/>
      <c r="M5" s="237">
        <f>COUNTRY_SCORING!C29</f>
        <v>2.74</v>
      </c>
      <c r="N5" s="169"/>
      <c r="P5" s="229">
        <f>AR_OPPORTUNITY!S19</f>
        <v>15460</v>
      </c>
      <c r="Q5" s="169"/>
    </row>
    <row r="6" spans="1:20" ht="4" customHeight="1" x14ac:dyDescent="0.2">
      <c r="A6" s="169"/>
      <c r="B6" s="169"/>
      <c r="D6" s="169"/>
      <c r="E6" s="169"/>
      <c r="G6" s="169"/>
      <c r="H6" s="169"/>
      <c r="J6" s="169"/>
      <c r="K6" s="169"/>
      <c r="M6" s="169"/>
      <c r="N6" s="169"/>
      <c r="P6" s="169"/>
      <c r="Q6" s="169"/>
    </row>
    <row r="7" spans="1:20" x14ac:dyDescent="0.2">
      <c r="A7" s="232" t="s">
        <v>208</v>
      </c>
      <c r="B7" s="169"/>
      <c r="D7" s="232" t="s">
        <v>208</v>
      </c>
      <c r="E7" s="169"/>
      <c r="G7" s="232"/>
      <c r="H7" s="169"/>
      <c r="J7" s="232" t="s">
        <v>534</v>
      </c>
      <c r="K7" s="169"/>
      <c r="M7" s="232" t="s">
        <v>535</v>
      </c>
      <c r="N7" s="169"/>
      <c r="P7" s="232" t="s">
        <v>467</v>
      </c>
      <c r="Q7" s="169"/>
    </row>
    <row r="9" spans="1:20" x14ac:dyDescent="0.2">
      <c r="A9" s="168" t="s">
        <v>536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</row>
    <row r="10" spans="1:20" x14ac:dyDescent="0.2">
      <c r="A10" s="19" t="s">
        <v>336</v>
      </c>
      <c r="B10" s="5" t="s">
        <v>202</v>
      </c>
      <c r="C10" s="114" t="s">
        <v>537</v>
      </c>
      <c r="D10" s="115" t="s">
        <v>538</v>
      </c>
      <c r="E10" s="116" t="s">
        <v>539</v>
      </c>
    </row>
    <row r="11" spans="1:20" x14ac:dyDescent="0.2">
      <c r="A11" s="6" t="s">
        <v>540</v>
      </c>
      <c r="B11" s="117" t="s">
        <v>208</v>
      </c>
      <c r="C11" s="118">
        <f>DEMAND_FORECAST!R14</f>
        <v>49763.289017041432</v>
      </c>
      <c r="D11" s="118">
        <f>DEMAND_FORECAST!R25</f>
        <v>40505.314083022851</v>
      </c>
      <c r="E11" s="118">
        <f>DEMAND_FORECAST!R36</f>
        <v>32840.966306098075</v>
      </c>
    </row>
    <row r="12" spans="1:20" x14ac:dyDescent="0.2">
      <c r="A12" s="10" t="s">
        <v>541</v>
      </c>
      <c r="B12" s="119" t="s">
        <v>208</v>
      </c>
      <c r="C12" s="120">
        <f>ARGENTINA_SUPPLY!R36</f>
        <v>1090</v>
      </c>
      <c r="D12" s="120">
        <f>ARGENTINA_SUPPLY!R25</f>
        <v>350</v>
      </c>
      <c r="E12" s="120">
        <f>ARGENTINA_SUPPLY!R14</f>
        <v>0</v>
      </c>
    </row>
    <row r="13" spans="1:20" x14ac:dyDescent="0.2">
      <c r="A13" s="6" t="s">
        <v>542</v>
      </c>
      <c r="B13" s="117" t="s">
        <v>214</v>
      </c>
      <c r="C13" s="121">
        <f>MARKET_GAP!R10</f>
        <v>2.1903696912531839E-2</v>
      </c>
      <c r="D13" s="121">
        <f>MARKET_GAP!R18</f>
        <v>8.6408415271786981E-3</v>
      </c>
      <c r="E13" s="121">
        <f>MARKET_GAP!R26</f>
        <v>0</v>
      </c>
    </row>
    <row r="14" spans="1:20" x14ac:dyDescent="0.2">
      <c r="A14" s="10" t="s">
        <v>543</v>
      </c>
      <c r="B14" s="119" t="s">
        <v>467</v>
      </c>
      <c r="C14" s="120">
        <f>AR_OPPORTUNITY!R7</f>
        <v>15260</v>
      </c>
      <c r="D14" s="120">
        <f>AR_OPPORTUNITY!R6</f>
        <v>3675</v>
      </c>
      <c r="E14" s="120">
        <f>AR_OPPORTUNITY!R5</f>
        <v>0</v>
      </c>
    </row>
    <row r="15" spans="1:20" x14ac:dyDescent="0.2">
      <c r="A15" s="6" t="s">
        <v>544</v>
      </c>
      <c r="B15" s="117" t="s">
        <v>545</v>
      </c>
      <c r="C15" s="122">
        <f>COUNTRY_SCORING!C29</f>
        <v>2.74</v>
      </c>
      <c r="D15" s="122">
        <f>COUNTRY_SCORING!C29</f>
        <v>2.74</v>
      </c>
      <c r="E15" s="122">
        <f>COUNTRY_SCORING!C29</f>
        <v>2.74</v>
      </c>
    </row>
    <row r="18" spans="1:20" x14ac:dyDescent="0.2">
      <c r="A18" s="168" t="s">
        <v>546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</row>
    <row r="19" spans="1:20" x14ac:dyDescent="0.2">
      <c r="A19" s="178" t="s">
        <v>547</v>
      </c>
      <c r="B19" s="169"/>
      <c r="C19" s="169"/>
      <c r="D19" s="169"/>
      <c r="F19" s="180" t="s">
        <v>548</v>
      </c>
      <c r="G19" s="169"/>
      <c r="H19" s="169"/>
      <c r="I19" s="169"/>
      <c r="K19" s="174" t="s">
        <v>549</v>
      </c>
      <c r="L19" s="169"/>
      <c r="M19" s="169"/>
      <c r="N19" s="169"/>
      <c r="P19" s="176" t="s">
        <v>550</v>
      </c>
      <c r="Q19" s="169"/>
      <c r="R19" s="169"/>
      <c r="S19" s="169"/>
    </row>
    <row r="20" spans="1:20" ht="16" customHeight="1" x14ac:dyDescent="0.2">
      <c r="A20" s="227" t="s">
        <v>551</v>
      </c>
      <c r="B20" s="169"/>
      <c r="C20" s="169"/>
      <c r="D20" s="169"/>
      <c r="F20" s="235" t="s">
        <v>552</v>
      </c>
      <c r="G20" s="169"/>
      <c r="H20" s="169"/>
      <c r="I20" s="169"/>
      <c r="K20" s="228" t="s">
        <v>553</v>
      </c>
      <c r="L20" s="169"/>
      <c r="M20" s="169"/>
      <c r="N20" s="169"/>
      <c r="P20" s="231" t="s">
        <v>554</v>
      </c>
      <c r="Q20" s="169"/>
      <c r="R20" s="169"/>
      <c r="S20" s="169"/>
    </row>
    <row r="21" spans="1:20" ht="16" customHeight="1" x14ac:dyDescent="0.2">
      <c r="A21" s="227" t="s">
        <v>555</v>
      </c>
      <c r="B21" s="169"/>
      <c r="C21" s="169"/>
      <c r="D21" s="169"/>
      <c r="F21" s="235" t="s">
        <v>556</v>
      </c>
      <c r="G21" s="169"/>
      <c r="H21" s="169"/>
      <c r="I21" s="169"/>
      <c r="K21" s="228" t="s">
        <v>557</v>
      </c>
      <c r="L21" s="169"/>
      <c r="M21" s="169"/>
      <c r="N21" s="169"/>
      <c r="P21" s="231" t="s">
        <v>558</v>
      </c>
      <c r="Q21" s="169"/>
      <c r="R21" s="169"/>
      <c r="S21" s="169"/>
    </row>
    <row r="22" spans="1:20" ht="16" customHeight="1" x14ac:dyDescent="0.2">
      <c r="A22" s="227" t="s">
        <v>559</v>
      </c>
      <c r="B22" s="169"/>
      <c r="C22" s="169"/>
      <c r="D22" s="169"/>
      <c r="F22" s="235" t="s">
        <v>560</v>
      </c>
      <c r="G22" s="169"/>
      <c r="H22" s="169"/>
      <c r="I22" s="169"/>
      <c r="K22" s="228" t="s">
        <v>561</v>
      </c>
      <c r="L22" s="169"/>
      <c r="M22" s="169"/>
      <c r="N22" s="169"/>
      <c r="P22" s="231" t="s">
        <v>562</v>
      </c>
      <c r="Q22" s="169"/>
      <c r="R22" s="169"/>
      <c r="S22" s="169"/>
    </row>
    <row r="23" spans="1:20" ht="16" customHeight="1" x14ac:dyDescent="0.2">
      <c r="A23" s="227" t="s">
        <v>563</v>
      </c>
      <c r="B23" s="169"/>
      <c r="C23" s="169"/>
      <c r="D23" s="169"/>
      <c r="F23" s="235" t="s">
        <v>564</v>
      </c>
      <c r="G23" s="169"/>
      <c r="H23" s="169"/>
      <c r="I23" s="169"/>
      <c r="K23" s="228" t="s">
        <v>565</v>
      </c>
      <c r="L23" s="169"/>
      <c r="M23" s="169"/>
      <c r="N23" s="169"/>
      <c r="P23" s="231" t="s">
        <v>566</v>
      </c>
      <c r="Q23" s="169"/>
      <c r="R23" s="169"/>
      <c r="S23" s="169"/>
    </row>
    <row r="24" spans="1:20" ht="16" customHeight="1" x14ac:dyDescent="0.2">
      <c r="A24" s="227" t="s">
        <v>567</v>
      </c>
      <c r="B24" s="169"/>
      <c r="C24" s="169"/>
      <c r="D24" s="169"/>
      <c r="F24" s="235" t="s">
        <v>568</v>
      </c>
      <c r="G24" s="169"/>
      <c r="H24" s="169"/>
      <c r="I24" s="169"/>
      <c r="K24" s="228" t="s">
        <v>569</v>
      </c>
      <c r="L24" s="169"/>
      <c r="M24" s="169"/>
      <c r="N24" s="169"/>
      <c r="P24" s="231" t="s">
        <v>570</v>
      </c>
      <c r="Q24" s="169"/>
      <c r="R24" s="169"/>
      <c r="S24" s="169"/>
    </row>
  </sheetData>
  <mergeCells count="47">
    <mergeCell ref="A2:T2"/>
    <mergeCell ref="P21:S21"/>
    <mergeCell ref="M5:N6"/>
    <mergeCell ref="F20:I20"/>
    <mergeCell ref="A4:B4"/>
    <mergeCell ref="G4:H4"/>
    <mergeCell ref="A21:D21"/>
    <mergeCell ref="M4:N4"/>
    <mergeCell ref="A3:T3"/>
    <mergeCell ref="J7:K7"/>
    <mergeCell ref="F24:I24"/>
    <mergeCell ref="K20:N20"/>
    <mergeCell ref="F21:I21"/>
    <mergeCell ref="D4:E4"/>
    <mergeCell ref="K22:N22"/>
    <mergeCell ref="P23:S23"/>
    <mergeCell ref="F23:I23"/>
    <mergeCell ref="F22:I22"/>
    <mergeCell ref="P24:S24"/>
    <mergeCell ref="K19:N19"/>
    <mergeCell ref="A1:T1"/>
    <mergeCell ref="A7:B7"/>
    <mergeCell ref="G7:H7"/>
    <mergeCell ref="D5:E6"/>
    <mergeCell ref="A24:D24"/>
    <mergeCell ref="K24:N24"/>
    <mergeCell ref="P20:S20"/>
    <mergeCell ref="F19:I19"/>
    <mergeCell ref="J5:K6"/>
    <mergeCell ref="P5:Q6"/>
    <mergeCell ref="M7:N7"/>
    <mergeCell ref="J4:K4"/>
    <mergeCell ref="D7:E7"/>
    <mergeCell ref="P7:Q7"/>
    <mergeCell ref="P4:Q4"/>
    <mergeCell ref="A23:D23"/>
    <mergeCell ref="K23:N23"/>
    <mergeCell ref="P19:S19"/>
    <mergeCell ref="A22:D22"/>
    <mergeCell ref="A9:T9"/>
    <mergeCell ref="A20:D20"/>
    <mergeCell ref="A5:B6"/>
    <mergeCell ref="G5:H6"/>
    <mergeCell ref="A19:D19"/>
    <mergeCell ref="A18:T18"/>
    <mergeCell ref="K21:N21"/>
    <mergeCell ref="P22:S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PARAMETERS</vt:lpstr>
      <vt:lpstr>DEMAND_FORECAST</vt:lpstr>
      <vt:lpstr>ARGENTINA_SUPPLY</vt:lpstr>
      <vt:lpstr>MARKET_GAP</vt:lpstr>
      <vt:lpstr>AR_OPPORTUNITY</vt:lpstr>
      <vt:lpstr>COUNTRY_SCORING</vt:lpstr>
      <vt:lpstr>PATHWAYS</vt:lpstr>
      <vt:lpstr>RECOMMENDATIONS</vt:lpstr>
      <vt:lpstr>VALIDATION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Barrera</cp:lastModifiedBy>
  <dcterms:created xsi:type="dcterms:W3CDTF">2026-03-23T19:07:41Z</dcterms:created>
  <dcterms:modified xsi:type="dcterms:W3CDTF">2026-03-23T19:10:12Z</dcterms:modified>
</cp:coreProperties>
</file>